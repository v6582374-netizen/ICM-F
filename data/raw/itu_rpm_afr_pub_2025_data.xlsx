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ituint.sharepoint.com/sites/IDA/Shared Documents/General/Facts and Figures/Facts and Figures for RPM/RPM report Africa/"/>
    </mc:Choice>
  </mc:AlternateContent>
  <xr:revisionPtr revIDLastSave="321" documentId="8_{C68F10FB-3093-4292-8056-63796F225AF6}" xr6:coauthVersionLast="47" xr6:coauthVersionMax="47" xr10:uidLastSave="{F116211D-7E90-4379-8E8A-C636A42FDAD2}"/>
  <bookViews>
    <workbookView xWindow="-120" yWindow="-120" windowWidth="29040" windowHeight="17520" activeTab="6" xr2:uid="{F5C99E65-89EF-4CC2-B8E6-4140364EC148}"/>
  </bookViews>
  <sheets>
    <sheet name="Contents" sheetId="20" r:id="rId1"/>
    <sheet name="regulation" sheetId="19" r:id="rId2"/>
    <sheet name="Internet use" sheetId="1" r:id="rId3"/>
    <sheet name="Int use gender" sheetId="2" r:id="rId4"/>
    <sheet name="int use age" sheetId="3" r:id="rId5"/>
    <sheet name="Int use urban-rural" sheetId="4" r:id="rId6"/>
    <sheet name="subscriptions" sheetId="5" r:id="rId7"/>
    <sheet name="fxd brb speed" sheetId="6" r:id="rId8"/>
    <sheet name="mob netw coverage" sheetId="8" r:id="rId9"/>
    <sheet name="fxd brb infra" sheetId="21" r:id="rId10"/>
    <sheet name="traffic" sheetId="9" r:id="rId11"/>
    <sheet name="bandwidth" sheetId="10" r:id="rId12"/>
    <sheet name="affordability" sheetId="11" r:id="rId13"/>
    <sheet name="mbo" sheetId="12" r:id="rId14"/>
    <sheet name="mbo gender" sheetId="13" r:id="rId15"/>
    <sheet name="ICT skill levels" sheetId="22" r:id="rId16"/>
    <sheet name="ICT skills - activities" sheetId="23" r:id="rId17"/>
    <sheet name="investment and revenue" sheetId="15" r:id="rId18"/>
    <sheet name="e-waste" sheetId="16" r:id="rId19"/>
    <sheet name="GCI1" sheetId="17" r:id="rId20"/>
    <sheet name="GCI2" sheetId="18"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2" l="1"/>
  <c r="D4" i="22" l="1"/>
  <c r="D5" i="22" l="1"/>
  <c r="D6" i="22"/>
  <c r="D8" i="22"/>
  <c r="B99" i="21" l="1"/>
</calcChain>
</file>

<file path=xl/sharedStrings.xml><?xml version="1.0" encoding="utf-8"?>
<sst xmlns="http://schemas.openxmlformats.org/spreadsheetml/2006/main" count="4018" uniqueCount="260">
  <si>
    <t>Topic</t>
  </si>
  <si>
    <t>Regulation</t>
  </si>
  <si>
    <t>Regulation indicators</t>
  </si>
  <si>
    <t>Internet use</t>
  </si>
  <si>
    <t>Subscriptions</t>
  </si>
  <si>
    <t>Mobile network coverage</t>
  </si>
  <si>
    <t>Availability of fixed-broadband infrastructure</t>
  </si>
  <si>
    <t>Percentage of population within reach of a fibre node, 2023</t>
  </si>
  <si>
    <t>Fibre network, 2023</t>
  </si>
  <si>
    <t>Internet traffic</t>
  </si>
  <si>
    <t>International bandwidth</t>
  </si>
  <si>
    <t>Affordability</t>
  </si>
  <si>
    <t>Mobile phone ownership</t>
  </si>
  <si>
    <t>ICT skills</t>
  </si>
  <si>
    <t>Investment and revenue</t>
  </si>
  <si>
    <t>E-waste</t>
  </si>
  <si>
    <t>Global cybersecurity index</t>
  </si>
  <si>
    <t>Return to Contents</t>
  </si>
  <si>
    <t>G1</t>
  </si>
  <si>
    <t>N/A</t>
  </si>
  <si>
    <t>G2</t>
  </si>
  <si>
    <t>G3</t>
  </si>
  <si>
    <t>G4</t>
  </si>
  <si>
    <t>Source: ITU</t>
  </si>
  <si>
    <t>World</t>
  </si>
  <si>
    <t>Innovation policy</t>
  </si>
  <si>
    <t>Percentage of individuals using the Internet</t>
  </si>
  <si>
    <t>Percentage of individuals using the Internet, by gender</t>
  </si>
  <si>
    <t>Female</t>
  </si>
  <si>
    <t>Male</t>
  </si>
  <si>
    <t>Percentage of individuals using the Internet, by age</t>
  </si>
  <si>
    <t>Percentage of individuals using the Internet, by urban or rural residence</t>
  </si>
  <si>
    <t>Subscriptions per 100 inhabitants</t>
  </si>
  <si>
    <t>Active mobile-broadband subscriptions</t>
  </si>
  <si>
    <t>Fixed-broadband subscriptions</t>
  </si>
  <si>
    <t>Fixed-telephone subscriptions</t>
  </si>
  <si>
    <t>Mobile-cellular subscriptions</t>
  </si>
  <si>
    <t>Fixed broadband subscriptions by speed as a % of total fixed broadband subscriptions</t>
  </si>
  <si>
    <t>256 kbit/s to less than 2 Mbit/s</t>
  </si>
  <si>
    <t>2 Mbit/s to less than 10 Mbit/s</t>
  </si>
  <si>
    <t>Equal to or above 10 Mbit/s</t>
  </si>
  <si>
    <r>
      <t xml:space="preserve">Percentage </t>
    </r>
    <r>
      <rPr>
        <b/>
        <sz val="11"/>
        <rFont val="Aptos"/>
        <family val="2"/>
      </rPr>
      <t xml:space="preserve">of population covered by type of mobile network </t>
    </r>
  </si>
  <si>
    <t>At least 2G</t>
  </si>
  <si>
    <t>At least 3G</t>
  </si>
  <si>
    <t>At least LTE/WiMAX</t>
  </si>
  <si>
    <t>At least 5G</t>
  </si>
  <si>
    <t>10 km</t>
  </si>
  <si>
    <t>25 km</t>
  </si>
  <si>
    <t>50 km</t>
  </si>
  <si>
    <t>100 km</t>
  </si>
  <si>
    <t>Note: The percentage of population within reach of transmission networks refers to the percentage of people that are within physical reach of nodes on core terrestrial transmission networks for a given distance (see https://bbmaps.itu.int/indicators-bbmaps).</t>
  </si>
  <si>
    <t>km</t>
  </si>
  <si>
    <t>Internet traffic per year (GB per subscription)</t>
  </si>
  <si>
    <t>Fixed-broadband Internet traffic</t>
  </si>
  <si>
    <t>Mobile-broadband Internet traffic (within the country)</t>
  </si>
  <si>
    <t>International bandwidth usage (bits per Internet user)</t>
  </si>
  <si>
    <t>Data-only mobile-broadband basket (2GB) as a percentage of GNI p.c.</t>
  </si>
  <si>
    <t>Fixed-broadband basket (5GB) as a percentage of GNI p.c.</t>
  </si>
  <si>
    <t>Percentage of individuals who own a mobile cellular telephone</t>
  </si>
  <si>
    <t>Percentage of individuals who own a mobile cellular telephone by gender</t>
  </si>
  <si>
    <t>Category/activity</t>
  </si>
  <si>
    <t>Verifying the reliability of information found online</t>
  </si>
  <si>
    <t>Information and data literacy</t>
  </si>
  <si>
    <t>Seeking health information</t>
  </si>
  <si>
    <t>Reading or downloading newspapers, magazines or books</t>
  </si>
  <si>
    <t>Getting information about goods or services</t>
  </si>
  <si>
    <t>Communication and collaboration</t>
  </si>
  <si>
    <t>Sending e-mails with attached files</t>
  </si>
  <si>
    <t>Making calls using VoIP or messaging app</t>
  </si>
  <si>
    <t>Participating in social networks</t>
  </si>
  <si>
    <t>Taking part in online consultations or voting to define civic or political issues</t>
  </si>
  <si>
    <t>Digital content creation</t>
  </si>
  <si>
    <t>Using copy and paste tools within a document</t>
  </si>
  <si>
    <t>Using basic arithmetic formula in a spreadsheet</t>
  </si>
  <si>
    <t>Creating electronic presentations with presentation software</t>
  </si>
  <si>
    <t>Writing a computer program using a programming language</t>
  </si>
  <si>
    <t>Using software run over the Internet for editing text documents, spreadsheets or presentations</t>
  </si>
  <si>
    <t>Uploading self/user-created content to a website to be shared</t>
  </si>
  <si>
    <t>Safety</t>
  </si>
  <si>
    <t>Changing privacy settings on your device, account or app</t>
  </si>
  <si>
    <t>Setting up effective security measures to protect devices and accounts</t>
  </si>
  <si>
    <t>Problem solving</t>
  </si>
  <si>
    <t>Connecting and installing new devices</t>
  </si>
  <si>
    <t>Finding, downloading, installing and configuring software</t>
  </si>
  <si>
    <t>Transferring files between a computer and other devices</t>
  </si>
  <si>
    <t>Doing an online course</t>
  </si>
  <si>
    <t>Purchasing or ordering goods or services</t>
  </si>
  <si>
    <t>Internet banking</t>
  </si>
  <si>
    <t>Annual investment in telecommunication services (US$ mln, current prices)</t>
  </si>
  <si>
    <t/>
  </si>
  <si>
    <t>Revenue from all telecommunication services (US$ mln, current prices)</t>
  </si>
  <si>
    <t>No</t>
  </si>
  <si>
    <t>Yes</t>
  </si>
  <si>
    <t>Source: ITU and UNITAR, Global E-waste Monitor, 2024</t>
  </si>
  <si>
    <t>Global Cybersecurity Index scores</t>
  </si>
  <si>
    <t>GCIv5 (2024): Weighted Pillar and Indicator Scores</t>
  </si>
  <si>
    <t>Legal pillar</t>
  </si>
  <si>
    <t>Technical pillar</t>
  </si>
  <si>
    <t>Organisational pillar</t>
  </si>
  <si>
    <t>Capacity development pillar</t>
  </si>
  <si>
    <t>Cooperative measures pillar</t>
  </si>
  <si>
    <t>GCIv5 score out of 100</t>
  </si>
  <si>
    <t>Note: The ‘Generations of ICT regulation’ provides a high-level conceptual framework for assessing the overall development of national legal instruments, policies and governance for the ICT and digital sectors. Generations 1 through 4 are based on ICT Regulatory Tracker scores:</t>
  </si>
  <si>
    <t>G1 – Command and control approach: score between 0 and 40</t>
  </si>
  <si>
    <t>G2 – Early open markets: score between 40 and 70</t>
  </si>
  <si>
    <t>G3 – Enabling investment and access: score between 70 and 85</t>
  </si>
  <si>
    <t>G4 – Integrated telecommunication regulation: score between 85 and 100</t>
  </si>
  <si>
    <t>Legal, policy and governance frameworks for digital transformation, 2023</t>
  </si>
  <si>
    <t>National digital policy agenda</t>
  </si>
  <si>
    <t>Regulatory capacity</t>
  </si>
  <si>
    <t>Good governance</t>
  </si>
  <si>
    <t>Collaborative governance</t>
  </si>
  <si>
    <t>Stakeholder engagement</t>
  </si>
  <si>
    <t>Legal instruments for ICT/telecom</t>
  </si>
  <si>
    <t>Legal instruments for digital markets</t>
  </si>
  <si>
    <t>ICT market rules</t>
  </si>
  <si>
    <t>Regional &amp; international collaboration</t>
  </si>
  <si>
    <t>Overall</t>
  </si>
  <si>
    <t>Fibre network</t>
  </si>
  <si>
    <t>Above basic skills</t>
  </si>
  <si>
    <t>Basic skills</t>
  </si>
  <si>
    <t>At least basic skills</t>
  </si>
  <si>
    <t>National e-waste legislation/policy or regulation</t>
  </si>
  <si>
    <t>Extended Producer Responsibility (EPR) framework for e-waste</t>
  </si>
  <si>
    <t>Collection targets</t>
  </si>
  <si>
    <t>Recycling targets</t>
  </si>
  <si>
    <t>E-waste documented as formally collected and recycled (million kg)</t>
  </si>
  <si>
    <t>E-waste generated (million kg)</t>
  </si>
  <si>
    <t>E-waste generated (kg/capita)</t>
  </si>
  <si>
    <t>Percentage of population covered by type of mobile network</t>
  </si>
  <si>
    <t>Percentage of population within reach of a fibre node</t>
  </si>
  <si>
    <t>Basket prices as a percentage of GNI p.c.</t>
  </si>
  <si>
    <t>Investment in and revenue from all telecommunication services</t>
  </si>
  <si>
    <t>E-waste indicators</t>
  </si>
  <si>
    <t>Weighted Pillar and Indicator Scores by country</t>
  </si>
  <si>
    <t>Artificial Intelligence policy</t>
  </si>
  <si>
    <r>
      <t xml:space="preserve">Note: in </t>
    </r>
    <r>
      <rPr>
        <sz val="11"/>
        <color rgb="FFFF0000"/>
        <rFont val="Aptos Narrow"/>
        <family val="2"/>
        <scheme val="minor"/>
      </rPr>
      <t>red</t>
    </r>
    <r>
      <rPr>
        <sz val="11"/>
        <color theme="1"/>
        <rFont val="Aptos Narrow"/>
        <family val="2"/>
        <scheme val="minor"/>
      </rPr>
      <t xml:space="preserve"> are data from non-official sources (usually ITU estimates)</t>
    </r>
  </si>
  <si>
    <r>
      <t xml:space="preserve">In </t>
    </r>
    <r>
      <rPr>
        <sz val="11"/>
        <color rgb="FFFF0000"/>
        <rFont val="Aptos Narrow"/>
        <family val="2"/>
        <scheme val="minor"/>
      </rPr>
      <t>red</t>
    </r>
    <r>
      <rPr>
        <sz val="11"/>
        <color theme="1"/>
        <rFont val="Aptos Narrow"/>
        <family val="2"/>
        <scheme val="minor"/>
      </rPr>
      <t xml:space="preserve"> are data from non-official sources (usually ITU estimates)</t>
    </r>
  </si>
  <si>
    <t>Shortened to</t>
  </si>
  <si>
    <t>Verifying reliability</t>
  </si>
  <si>
    <t>Newspapers/magazines/books</t>
  </si>
  <si>
    <t>Getting goods/services info</t>
  </si>
  <si>
    <t>E-mails with attachments</t>
  </si>
  <si>
    <t xml:space="preserve"> VoIP or messaging app calls</t>
  </si>
  <si>
    <t>Social networks</t>
  </si>
  <si>
    <t>Online consultations or voting</t>
  </si>
  <si>
    <t>Copy and paste</t>
  </si>
  <si>
    <t>Spreadsheets</t>
  </si>
  <si>
    <t>Presentation software</t>
  </si>
  <si>
    <t>Programming</t>
  </si>
  <si>
    <t>Internet software</t>
  </si>
  <si>
    <t>User-created content</t>
  </si>
  <si>
    <t>Changing privacy settings</t>
  </si>
  <si>
    <t>Setting up effective security measures</t>
  </si>
  <si>
    <t>Installing devices</t>
  </si>
  <si>
    <t>Installing software</t>
  </si>
  <si>
    <t>Transferring files</t>
  </si>
  <si>
    <t>Online course</t>
  </si>
  <si>
    <t>Purchasing/ordering</t>
  </si>
  <si>
    <t>Percentage of Internet users with ICT skills, by skill level</t>
  </si>
  <si>
    <t>Percentage of Internet users with ICT skills, by activity</t>
  </si>
  <si>
    <t xml:space="preserve"> </t>
  </si>
  <si>
    <r>
      <t xml:space="preserve">Note: in </t>
    </r>
    <r>
      <rPr>
        <sz val="11"/>
        <color rgb="FFFF0000"/>
        <rFont val="Aptos Narrow"/>
        <family val="2"/>
        <scheme val="minor"/>
      </rPr>
      <t>red</t>
    </r>
    <r>
      <rPr>
        <sz val="11"/>
        <color theme="1"/>
        <rFont val="Aptos Narrow"/>
        <family val="2"/>
        <scheme val="minor"/>
      </rPr>
      <t xml:space="preserve"> are ITU estimates</t>
    </r>
  </si>
  <si>
    <t>Individuals using the Internet (from any location): 14 years and younger</t>
  </si>
  <si>
    <t>Individuals using the Internet (from any location): 15 to 24 years</t>
  </si>
  <si>
    <t>Individuals using the Internet (from any location): 25 to 74 years</t>
  </si>
  <si>
    <t>Individuals using the Internet (from any location): 75 years and older</t>
  </si>
  <si>
    <t>Individuals using the Internet (from any location): Female</t>
  </si>
  <si>
    <t>Individuals using the Internet (from any location): Male</t>
  </si>
  <si>
    <t>Individuals using the Internet (from any location): Rural</t>
  </si>
  <si>
    <t>Individuals using the Internet (from any location): Urban</t>
  </si>
  <si>
    <t>Information</t>
  </si>
  <si>
    <t>Communication</t>
  </si>
  <si>
    <t>Content creation</t>
  </si>
  <si>
    <t>Data for 2021 is unavailable; 2020 data is used as a proxy for 2021.</t>
  </si>
  <si>
    <t xml:space="preserve">Source: ITU, based on data from ITU and SDG Indicators </t>
  </si>
  <si>
    <t>National digital strategy</t>
  </si>
  <si>
    <t>Industrial policies focusing on digital</t>
  </si>
  <si>
    <t>Future spectrum technologies strategy</t>
  </si>
  <si>
    <t>Internet of Things regulations/standards</t>
  </si>
  <si>
    <t>Cloud computing strategy</t>
  </si>
  <si>
    <t>Percentage of Internet users with ICT skills, by skill level, 2023</t>
  </si>
  <si>
    <t>Global Cybersecurity Index scores for the world and countries in the CIS region</t>
  </si>
  <si>
    <t>Angola</t>
  </si>
  <si>
    <t>Benin</t>
  </si>
  <si>
    <t>Botswana</t>
  </si>
  <si>
    <t>Burkina Faso</t>
  </si>
  <si>
    <t>Burundi</t>
  </si>
  <si>
    <t>Cameroon</t>
  </si>
  <si>
    <t>Cabo Verde</t>
  </si>
  <si>
    <t>Central African Rep.</t>
  </si>
  <si>
    <t>Chad</t>
  </si>
  <si>
    <t>Congo (Rep. of the)</t>
  </si>
  <si>
    <t>Côte d'Ivoire</t>
  </si>
  <si>
    <t>Equatorial Guinea</t>
  </si>
  <si>
    <t>Eritrea</t>
  </si>
  <si>
    <t>Eswatini</t>
  </si>
  <si>
    <t>Ethiopia</t>
  </si>
  <si>
    <t>Gabon</t>
  </si>
  <si>
    <t>Gambia</t>
  </si>
  <si>
    <t>Ghana</t>
  </si>
  <si>
    <t>Guinea</t>
  </si>
  <si>
    <t>Guinea-Bissau</t>
  </si>
  <si>
    <t>Kenya</t>
  </si>
  <si>
    <t>Lesotho</t>
  </si>
  <si>
    <t>Liberia</t>
  </si>
  <si>
    <t>Madagascar</t>
  </si>
  <si>
    <t>Malawi</t>
  </si>
  <si>
    <t>Mali</t>
  </si>
  <si>
    <t>Mauritius</t>
  </si>
  <si>
    <t>Mozambique</t>
  </si>
  <si>
    <t>Namibia</t>
  </si>
  <si>
    <t>Niger</t>
  </si>
  <si>
    <t>Nigeria</t>
  </si>
  <si>
    <t>Rwanda</t>
  </si>
  <si>
    <t>Sao Tome and Principe</t>
  </si>
  <si>
    <t>Senegal</t>
  </si>
  <si>
    <t>Seychelles</t>
  </si>
  <si>
    <t>Sierra Leone</t>
  </si>
  <si>
    <t>South Africa</t>
  </si>
  <si>
    <t>South Sudan</t>
  </si>
  <si>
    <t>Tanzania</t>
  </si>
  <si>
    <t>Togo</t>
  </si>
  <si>
    <t>Uganda</t>
  </si>
  <si>
    <t>Zambia</t>
  </si>
  <si>
    <t>Zimbabwe</t>
  </si>
  <si>
    <t>Evolution of the generations of ICT regulation in the Africa region</t>
  </si>
  <si>
    <t>Africa</t>
  </si>
  <si>
    <t>LDCs in Africa</t>
  </si>
  <si>
    <t>LLDCs in Africa</t>
  </si>
  <si>
    <t>SIDS in Africa</t>
  </si>
  <si>
    <t>Note: The nine thematic benchmarks (as in the chart above) each comprise a subset of indicators, as part of the ITU Unified Framework for the readiness of national policy, legal and governance frameworks for digital transformation.</t>
  </si>
  <si>
    <t>The chart shows progress on the nine benchmarks for the Africa region (average for the group) compared to the world average and the averages for LDCs (28 countries), LLDCs (16 countries) and SIDS (5 countries) in the region. The percentage of achievement on each benchmark indicates the proportion of met versus unmet targets on indicators in that benchmark.</t>
  </si>
  <si>
    <t>Universal access policy includes broadband</t>
  </si>
  <si>
    <t>Digital identity framework</t>
  </si>
  <si>
    <t>ICT accessibility for PwD* framework</t>
  </si>
  <si>
    <t>Strategies for digital inclusion of women and girls</t>
  </si>
  <si>
    <t>Digital strategy includes education sector</t>
  </si>
  <si>
    <t>Strategy for youth employment**</t>
  </si>
  <si>
    <t>Digital inclusion policy instruments in the Africa region, 2023</t>
  </si>
  <si>
    <t>* Persons with disabilities</t>
  </si>
  <si>
    <t>** Based on SDG Target 8.b Develop and operationalize global strategy for youth employment and to implement the Global Jobs Pact of the International Labour Organization (ILO)</t>
  </si>
  <si>
    <t>Note: The region’s average scores for key indicators for national digital agenda, legal instruments for digital markets and market rules under the ITU Unified Framework are compared with the averages for LDCs, LLDCs and SIDS in the region, and the world average.  </t>
  </si>
  <si>
    <t>Enabling environment for emerging technologies in the Africa region, 2023</t>
  </si>
  <si>
    <t>ICT/digital exempt from sector-specific taxes</t>
  </si>
  <si>
    <t>Incentives for ICT/ digital market players</t>
  </si>
  <si>
    <t>Mechanisms for regulatory experimentation</t>
  </si>
  <si>
    <t>Digital markets competition policy</t>
  </si>
  <si>
    <t xml:space="preserve">Note: The region’s average scores for key indicators in the National Digital Agenda, legal Instruments for Digital Markets and Stakeholder Engagement under the ITU Unified Framework are compared to the averages for LDCs, LLDCs and SIDS in the region, and the world average.  </t>
  </si>
  <si>
    <t>Dem. Rep. of the Congo</t>
  </si>
  <si>
    <t>CГґte d'Ivoire</t>
  </si>
  <si>
    <t>Burki Faso</t>
  </si>
  <si>
    <t>Botswa</t>
  </si>
  <si>
    <t>Gha</t>
  </si>
  <si>
    <t>mibia</t>
  </si>
  <si>
    <t>E-waste indicators for the Africa region, 2022</t>
  </si>
  <si>
    <t xml:space="preserve">Côte d'Ivoire </t>
  </si>
  <si>
    <t>* Malawi adopted an e-waste policy subsequently to the publication of the Global E-waste Monitor.</t>
  </si>
  <si>
    <t>No*</t>
  </si>
  <si>
    <t>latest year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</si>
</sst>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20]00;[=1]0;#0.0"/>
    <numFmt numFmtId="166" formatCode="[=20]00.0;[=1]0.0;#0.0"/>
    <numFmt numFmtId="167" formatCode="0.0%"/>
    <numFmt numFmtId="168" formatCode="_-* #,##0_-;\-* #,##0_-;_-* &quot;-&quot;??_-;_-@_-"/>
    <numFmt numFmtId="169" formatCode="#\ ##0"/>
  </numFmts>
  <fonts count="2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family val="2"/>
    </font>
    <font>
      <b/>
      <sz val="11"/>
      <name val="Aptos Narrow"/>
      <family val="2"/>
      <scheme val="minor"/>
    </font>
    <font>
      <b/>
      <sz val="10"/>
      <color theme="1"/>
      <name val="Aptos Narrow"/>
      <family val="2"/>
      <scheme val="minor"/>
    </font>
    <font>
      <sz val="11"/>
      <color rgb="FF000000"/>
      <name val="Calibri"/>
      <family val="2"/>
    </font>
    <font>
      <sz val="11"/>
      <color theme="1"/>
      <name val="Avenir Next LT Pro"/>
      <family val="2"/>
    </font>
    <font>
      <b/>
      <sz val="16"/>
      <color theme="1"/>
      <name val="Avenir Next LT Pro"/>
      <family val="2"/>
    </font>
    <font>
      <sz val="12"/>
      <color theme="1"/>
      <name val="Avenir Next LT Pro"/>
      <family val="2"/>
    </font>
    <font>
      <u/>
      <sz val="11"/>
      <color theme="10"/>
      <name val="Aptos Narrow"/>
      <family val="2"/>
      <scheme val="minor"/>
    </font>
    <font>
      <u/>
      <sz val="11"/>
      <color theme="10"/>
      <name val="Avenir Next LT Pro"/>
      <family val="2"/>
    </font>
    <font>
      <sz val="11"/>
      <color theme="1"/>
      <name val="Aptos Narrow"/>
      <family val="2"/>
      <scheme val="minor"/>
    </font>
    <font>
      <sz val="10"/>
      <name val="Arial"/>
      <family val="2"/>
    </font>
    <font>
      <sz val="12"/>
      <color theme="1"/>
      <name val="Aptos Narrow"/>
      <family val="2"/>
      <scheme val="minor"/>
    </font>
    <font>
      <sz val="11"/>
      <color theme="1"/>
      <name val="Aptos"/>
      <family val="2"/>
    </font>
    <font>
      <sz val="11"/>
      <color indexed="8"/>
      <name val="Aptos"/>
      <family val="2"/>
    </font>
    <font>
      <sz val="11"/>
      <color theme="1"/>
      <name val="Aptos Narrow"/>
      <family val="2"/>
    </font>
    <font>
      <sz val="11"/>
      <color indexed="8"/>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s>
  <borders count="4">
    <border>
      <left/>
      <right/>
      <top/>
      <bottom/>
      <diagonal/>
    </border>
    <border>
      <left/>
      <right/>
      <top/>
      <bottom style="thin">
        <color theme="4" tint="0.39997558519241921"/>
      </bottom>
      <diagonal/>
    </border>
    <border>
      <left/>
      <right/>
      <top/>
      <bottom style="thin">
        <color indexed="64"/>
      </bottom>
      <diagonal/>
    </border>
    <border>
      <left/>
      <right/>
      <top/>
      <bottom style="thin">
        <color theme="0" tint="-0.24994659260841701"/>
      </bottom>
      <diagonal/>
    </border>
  </borders>
  <cellStyleXfs count="7">
    <xf numFmtId="0" fontId="0" fillId="0" borderId="0"/>
    <xf numFmtId="0" fontId="11" fillId="0" borderId="0" applyNumberForma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4" fillId="0" borderId="0"/>
    <xf numFmtId="0" fontId="15" fillId="0" borderId="0"/>
  </cellStyleXfs>
  <cellXfs count="63">
    <xf numFmtId="0" fontId="0" fillId="0" borderId="0" xfId="0"/>
    <xf numFmtId="0" fontId="2" fillId="0" borderId="0" xfId="0" applyFont="1"/>
    <xf numFmtId="0" fontId="0" fillId="0" borderId="0" xfId="0" applyAlignment="1">
      <alignment horizontal="left"/>
    </xf>
    <xf numFmtId="164" fontId="0" fillId="0" borderId="0" xfId="0" applyNumberFormat="1"/>
    <xf numFmtId="1" fontId="0" fillId="0" borderId="0" xfId="0" applyNumberFormat="1"/>
    <xf numFmtId="0" fontId="2" fillId="2" borderId="0" xfId="0" applyFont="1" applyFill="1"/>
    <xf numFmtId="0" fontId="2" fillId="2" borderId="1" xfId="0" applyFont="1" applyFill="1" applyBorder="1"/>
    <xf numFmtId="0" fontId="0" fillId="0" borderId="0" xfId="0" applyAlignment="1">
      <alignment horizontal="left" indent="1"/>
    </xf>
    <xf numFmtId="0" fontId="2" fillId="0" borderId="1" xfId="0" applyFont="1" applyBorder="1"/>
    <xf numFmtId="0" fontId="2" fillId="0" borderId="1" xfId="0" applyFont="1" applyBorder="1" applyAlignment="1">
      <alignment horizontal="left"/>
    </xf>
    <xf numFmtId="0" fontId="5" fillId="0" borderId="0" xfId="0" applyFont="1" applyAlignment="1">
      <alignment horizontal="left" indent="1"/>
    </xf>
    <xf numFmtId="164" fontId="2" fillId="0" borderId="1" xfId="0" applyNumberFormat="1" applyFont="1" applyBorder="1"/>
    <xf numFmtId="0" fontId="0" fillId="0" borderId="0" xfId="0" applyAlignment="1">
      <alignment horizontal="right"/>
    </xf>
    <xf numFmtId="0" fontId="2" fillId="3" borderId="0" xfId="0" applyFont="1" applyFill="1"/>
    <xf numFmtId="0" fontId="2" fillId="4" borderId="0" xfId="0" applyFont="1" applyFill="1"/>
    <xf numFmtId="10" fontId="0" fillId="0" borderId="0" xfId="0" applyNumberFormat="1"/>
    <xf numFmtId="0" fontId="6" fillId="4" borderId="2" xfId="0" applyFont="1" applyFill="1" applyBorder="1" applyAlignment="1">
      <alignment horizontal="right"/>
    </xf>
    <xf numFmtId="0" fontId="2" fillId="0" borderId="0" xfId="0" applyFont="1" applyAlignment="1">
      <alignment wrapText="1"/>
    </xf>
    <xf numFmtId="0" fontId="0" fillId="0" borderId="0" xfId="0" applyAlignment="1">
      <alignment horizontal="center"/>
    </xf>
    <xf numFmtId="0" fontId="7" fillId="0" borderId="0" xfId="0" applyFont="1" applyAlignment="1">
      <alignment vertical="center"/>
    </xf>
    <xf numFmtId="1" fontId="7" fillId="0" borderId="0" xfId="0" applyNumberFormat="1" applyFont="1" applyAlignment="1">
      <alignment horizontal="right" vertical="center"/>
    </xf>
    <xf numFmtId="0" fontId="5" fillId="0" borderId="0" xfId="0" applyFont="1" applyAlignment="1">
      <alignment wrapText="1"/>
    </xf>
    <xf numFmtId="0" fontId="3" fillId="0" borderId="0" xfId="0" applyFont="1"/>
    <xf numFmtId="0" fontId="6" fillId="4" borderId="2" xfId="0" applyFont="1" applyFill="1" applyBorder="1" applyAlignment="1">
      <alignment horizontal="center" wrapText="1"/>
    </xf>
    <xf numFmtId="165" fontId="3" fillId="0" borderId="0" xfId="0" applyNumberFormat="1" applyFont="1" applyAlignment="1">
      <alignment horizontal="center" vertical="center"/>
    </xf>
    <xf numFmtId="166" fontId="5" fillId="0" borderId="0" xfId="0" applyNumberFormat="1" applyFont="1" applyAlignment="1">
      <alignment horizontal="center" vertical="center"/>
    </xf>
    <xf numFmtId="9" fontId="0" fillId="0" borderId="0" xfId="0" applyNumberFormat="1"/>
    <xf numFmtId="0" fontId="2" fillId="2" borderId="1" xfId="0" applyFont="1" applyFill="1" applyBorder="1" applyAlignment="1">
      <alignment horizontal="right"/>
    </xf>
    <xf numFmtId="0" fontId="2" fillId="2" borderId="1" xfId="0" applyFont="1" applyFill="1" applyBorder="1" applyAlignment="1">
      <alignment horizontal="right" wrapText="1"/>
    </xf>
    <xf numFmtId="168" fontId="0" fillId="0" borderId="0" xfId="0" applyNumberFormat="1"/>
    <xf numFmtId="0" fontId="9" fillId="5" borderId="0" xfId="0" applyFont="1" applyFill="1"/>
    <xf numFmtId="0" fontId="10" fillId="5" borderId="0" xfId="0" applyFont="1" applyFill="1"/>
    <xf numFmtId="0" fontId="12" fillId="5" borderId="0" xfId="1" applyFont="1" applyFill="1" applyAlignment="1">
      <alignment horizontal="left" indent="1"/>
    </xf>
    <xf numFmtId="0" fontId="8" fillId="5" borderId="0" xfId="0" applyFont="1" applyFill="1"/>
    <xf numFmtId="0" fontId="11" fillId="0" borderId="0" xfId="1"/>
    <xf numFmtId="0" fontId="2" fillId="0" borderId="0" xfId="0" applyFont="1" applyAlignment="1">
      <alignment horizontal="left" indent="1"/>
    </xf>
    <xf numFmtId="168" fontId="0" fillId="0" borderId="0" xfId="2" applyNumberFormat="1" applyFont="1"/>
    <xf numFmtId="0" fontId="10" fillId="5" borderId="3" xfId="0" applyFont="1" applyFill="1" applyBorder="1"/>
    <xf numFmtId="0" fontId="10" fillId="5" borderId="3" xfId="0" applyFont="1" applyFill="1" applyBorder="1" applyAlignment="1">
      <alignment horizontal="left"/>
    </xf>
    <xf numFmtId="167" fontId="0" fillId="0" borderId="0" xfId="0" applyNumberFormat="1"/>
    <xf numFmtId="9" fontId="0" fillId="0" borderId="0" xfId="3" applyFont="1"/>
    <xf numFmtId="0" fontId="2" fillId="6" borderId="0" xfId="0" applyFont="1" applyFill="1" applyAlignment="1">
      <alignment horizontal="left" indent="1"/>
    </xf>
    <xf numFmtId="168" fontId="2" fillId="6" borderId="0" xfId="2" applyNumberFormat="1" applyFont="1" applyFill="1"/>
    <xf numFmtId="1" fontId="2" fillId="6" borderId="0" xfId="0" applyNumberFormat="1" applyFont="1" applyFill="1"/>
    <xf numFmtId="0" fontId="11" fillId="0" borderId="0" xfId="1" applyAlignment="1"/>
    <xf numFmtId="1" fontId="0" fillId="0" borderId="0" xfId="0" applyNumberFormat="1" applyAlignment="1">
      <alignment horizontal="center"/>
    </xf>
    <xf numFmtId="0" fontId="0" fillId="0" borderId="0" xfId="0" applyAlignment="1">
      <alignment horizontal="left" indent="2"/>
    </xf>
    <xf numFmtId="164" fontId="2" fillId="0" borderId="0" xfId="0" applyNumberFormat="1" applyFont="1"/>
    <xf numFmtId="169" fontId="0" fillId="0" borderId="0" xfId="0" applyNumberFormat="1" applyAlignment="1">
      <alignment horizontal="center"/>
    </xf>
    <xf numFmtId="0" fontId="2" fillId="2" borderId="1" xfId="0" applyFont="1" applyFill="1" applyBorder="1" applyAlignment="1">
      <alignment horizontal="center"/>
    </xf>
    <xf numFmtId="0" fontId="16" fillId="0" borderId="0" xfId="0" applyFont="1"/>
    <xf numFmtId="0" fontId="17" fillId="0" borderId="0" xfId="0" applyFont="1" applyAlignment="1" applyProtection="1">
      <alignment horizontal="left" vertical="center" readingOrder="1"/>
      <protection locked="0"/>
    </xf>
    <xf numFmtId="2" fontId="0" fillId="0" borderId="0" xfId="0" applyNumberFormat="1"/>
    <xf numFmtId="0" fontId="18" fillId="0" borderId="0" xfId="0" applyFont="1"/>
    <xf numFmtId="167" fontId="2" fillId="0" borderId="0" xfId="0" applyNumberFormat="1" applyFont="1"/>
    <xf numFmtId="167" fontId="0" fillId="0" borderId="0" xfId="0" applyNumberFormat="1" applyAlignment="1">
      <alignment horizontal="right" vertical="top"/>
    </xf>
    <xf numFmtId="0" fontId="19" fillId="0" borderId="0" xfId="0" applyFont="1" applyAlignment="1" applyProtection="1">
      <alignment horizontal="left" vertical="center" readingOrder="1"/>
      <protection locked="0"/>
    </xf>
    <xf numFmtId="164" fontId="19" fillId="0" borderId="0" xfId="0" applyNumberFormat="1" applyFont="1" applyAlignment="1" applyProtection="1">
      <alignment horizontal="right" vertical="center" readingOrder="1"/>
      <protection locked="0"/>
    </xf>
    <xf numFmtId="164" fontId="1" fillId="0" borderId="0" xfId="0" applyNumberFormat="1" applyFont="1" applyAlignment="1" applyProtection="1">
      <alignment horizontal="right" vertical="center" readingOrder="1"/>
      <protection locked="0"/>
    </xf>
    <xf numFmtId="0" fontId="3" fillId="0" borderId="0" xfId="0" applyFont="1" applyAlignment="1">
      <alignment horizontal="left" indent="1"/>
    </xf>
    <xf numFmtId="0" fontId="19" fillId="0" borderId="0" xfId="0" applyFont="1" applyAlignment="1" applyProtection="1">
      <alignment horizontal="left" vertical="center" wrapText="1" readingOrder="1"/>
      <protection locked="0"/>
    </xf>
    <xf numFmtId="164" fontId="19" fillId="0" borderId="0" xfId="0" applyNumberFormat="1" applyFont="1" applyAlignment="1" applyProtection="1">
      <alignment horizontal="right" vertical="center" wrapText="1" readingOrder="1"/>
      <protection locked="0"/>
    </xf>
    <xf numFmtId="164" fontId="1" fillId="0" borderId="0" xfId="0" applyNumberFormat="1" applyFont="1" applyAlignment="1" applyProtection="1">
      <alignment horizontal="right" vertical="center" wrapText="1" readingOrder="1"/>
      <protection locked="0"/>
    </xf>
  </cellXfs>
  <cellStyles count="7">
    <cellStyle name="Comma" xfId="2" builtinId="3"/>
    <cellStyle name="Comma 2" xfId="4" xr:uid="{AA74C426-F6F2-455F-A0C2-8B0182E44419}"/>
    <cellStyle name="Hyperlink" xfId="1" builtinId="8"/>
    <cellStyle name="Normal" xfId="0" builtinId="0"/>
    <cellStyle name="Normal 2" xfId="5" xr:uid="{8F858A50-9350-4401-AA81-ED4818F0260A}"/>
    <cellStyle name="Normal 3 2" xfId="6" xr:uid="{FC1A2F70-CD01-4F2D-988A-59FBADA70254}"/>
    <cellStyle name="Percent" xfId="3" builtinId="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A241-22EF-4E95-9492-5268446A9C6F}">
  <sheetPr codeName="Sheet1"/>
  <dimension ref="A1:B35"/>
  <sheetViews>
    <sheetView workbookViewId="0"/>
  </sheetViews>
  <sheetFormatPr defaultColWidth="9.140625" defaultRowHeight="15" x14ac:dyDescent="0.25"/>
  <cols>
    <col min="1" max="1" width="3.85546875" style="33" bestFit="1" customWidth="1"/>
    <col min="2" max="2" width="104.7109375" style="33" bestFit="1" customWidth="1"/>
    <col min="3" max="16384" width="9.140625" style="33"/>
  </cols>
  <sheetData>
    <row r="1" spans="1:2" s="30" customFormat="1" ht="20.25" x14ac:dyDescent="0.3">
      <c r="B1" s="30" t="s">
        <v>0</v>
      </c>
    </row>
    <row r="2" spans="1:2" s="31" customFormat="1" ht="15.75" x14ac:dyDescent="0.25">
      <c r="A2" s="37">
        <v>1</v>
      </c>
      <c r="B2" s="38" t="s">
        <v>1</v>
      </c>
    </row>
    <row r="3" spans="1:2" s="31" customFormat="1" ht="15.75" x14ac:dyDescent="0.25">
      <c r="B3" s="32" t="s">
        <v>2</v>
      </c>
    </row>
    <row r="4" spans="1:2" s="31" customFormat="1" ht="15.75" x14ac:dyDescent="0.25">
      <c r="A4" s="37">
        <v>2</v>
      </c>
      <c r="B4" s="37" t="s">
        <v>3</v>
      </c>
    </row>
    <row r="5" spans="1:2" x14ac:dyDescent="0.25">
      <c r="B5" s="32" t="s">
        <v>26</v>
      </c>
    </row>
    <row r="6" spans="1:2" x14ac:dyDescent="0.25">
      <c r="B6" s="32" t="s">
        <v>27</v>
      </c>
    </row>
    <row r="7" spans="1:2" x14ac:dyDescent="0.25">
      <c r="B7" s="32" t="s">
        <v>30</v>
      </c>
    </row>
    <row r="8" spans="1:2" x14ac:dyDescent="0.25">
      <c r="B8" s="32" t="s">
        <v>31</v>
      </c>
    </row>
    <row r="9" spans="1:2" s="31" customFormat="1" ht="15.75" x14ac:dyDescent="0.25">
      <c r="A9" s="37">
        <v>3</v>
      </c>
      <c r="B9" s="38" t="s">
        <v>4</v>
      </c>
    </row>
    <row r="10" spans="1:2" x14ac:dyDescent="0.25">
      <c r="B10" s="32" t="s">
        <v>32</v>
      </c>
    </row>
    <row r="11" spans="1:2" x14ac:dyDescent="0.25">
      <c r="B11" s="32" t="s">
        <v>37</v>
      </c>
    </row>
    <row r="12" spans="1:2" s="31" customFormat="1" ht="15.75" x14ac:dyDescent="0.25">
      <c r="A12" s="37">
        <v>4</v>
      </c>
      <c r="B12" s="38" t="s">
        <v>5</v>
      </c>
    </row>
    <row r="13" spans="1:2" s="31" customFormat="1" ht="15.75" x14ac:dyDescent="0.25">
      <c r="B13" s="32" t="s">
        <v>129</v>
      </c>
    </row>
    <row r="14" spans="1:2" s="31" customFormat="1" ht="15.75" x14ac:dyDescent="0.25">
      <c r="A14" s="37">
        <v>5</v>
      </c>
      <c r="B14" s="38" t="s">
        <v>6</v>
      </c>
    </row>
    <row r="15" spans="1:2" s="31" customFormat="1" ht="15.75" x14ac:dyDescent="0.25">
      <c r="B15" s="32" t="s">
        <v>130</v>
      </c>
    </row>
    <row r="16" spans="1:2" s="31" customFormat="1" ht="15.75" x14ac:dyDescent="0.25">
      <c r="B16" s="32" t="s">
        <v>118</v>
      </c>
    </row>
    <row r="17" spans="1:2" s="31" customFormat="1" ht="15.75" x14ac:dyDescent="0.25">
      <c r="A17" s="37">
        <v>6</v>
      </c>
      <c r="B17" s="38" t="s">
        <v>9</v>
      </c>
    </row>
    <row r="18" spans="1:2" s="31" customFormat="1" ht="15.75" x14ac:dyDescent="0.25">
      <c r="B18" s="32" t="s">
        <v>52</v>
      </c>
    </row>
    <row r="19" spans="1:2" s="31" customFormat="1" ht="15.75" x14ac:dyDescent="0.25">
      <c r="A19" s="37">
        <v>7</v>
      </c>
      <c r="B19" s="38" t="s">
        <v>10</v>
      </c>
    </row>
    <row r="20" spans="1:2" s="31" customFormat="1" ht="15.75" x14ac:dyDescent="0.25">
      <c r="B20" s="32" t="s">
        <v>55</v>
      </c>
    </row>
    <row r="21" spans="1:2" s="31" customFormat="1" ht="15.75" x14ac:dyDescent="0.25">
      <c r="A21" s="37">
        <v>8</v>
      </c>
      <c r="B21" s="38" t="s">
        <v>11</v>
      </c>
    </row>
    <row r="22" spans="1:2" s="31" customFormat="1" ht="15.75" x14ac:dyDescent="0.25">
      <c r="B22" s="32" t="s">
        <v>131</v>
      </c>
    </row>
    <row r="23" spans="1:2" s="31" customFormat="1" ht="15.75" x14ac:dyDescent="0.25">
      <c r="A23" s="37">
        <v>9</v>
      </c>
      <c r="B23" s="38" t="s">
        <v>12</v>
      </c>
    </row>
    <row r="24" spans="1:2" x14ac:dyDescent="0.25">
      <c r="B24" s="32" t="s">
        <v>58</v>
      </c>
    </row>
    <row r="25" spans="1:2" x14ac:dyDescent="0.25">
      <c r="B25" s="32" t="s">
        <v>59</v>
      </c>
    </row>
    <row r="26" spans="1:2" s="31" customFormat="1" ht="15.75" x14ac:dyDescent="0.25">
      <c r="A26" s="37">
        <v>10</v>
      </c>
      <c r="B26" s="38" t="s">
        <v>13</v>
      </c>
    </row>
    <row r="27" spans="1:2" s="31" customFormat="1" ht="15.75" x14ac:dyDescent="0.25">
      <c r="B27" s="32" t="s">
        <v>159</v>
      </c>
    </row>
    <row r="28" spans="1:2" s="31" customFormat="1" ht="15.75" x14ac:dyDescent="0.25">
      <c r="B28" s="32" t="s">
        <v>160</v>
      </c>
    </row>
    <row r="29" spans="1:2" s="31" customFormat="1" ht="15.75" x14ac:dyDescent="0.25">
      <c r="A29" s="37">
        <v>11</v>
      </c>
      <c r="B29" s="37" t="s">
        <v>14</v>
      </c>
    </row>
    <row r="30" spans="1:2" s="31" customFormat="1" ht="15.75" x14ac:dyDescent="0.25">
      <c r="B30" s="32" t="s">
        <v>132</v>
      </c>
    </row>
    <row r="31" spans="1:2" s="31" customFormat="1" ht="15.75" x14ac:dyDescent="0.25">
      <c r="A31" s="37">
        <v>12</v>
      </c>
      <c r="B31" s="37" t="s">
        <v>15</v>
      </c>
    </row>
    <row r="32" spans="1:2" s="31" customFormat="1" ht="15.75" x14ac:dyDescent="0.25">
      <c r="B32" s="32" t="s">
        <v>133</v>
      </c>
    </row>
    <row r="33" spans="1:2" s="31" customFormat="1" ht="15.75" x14ac:dyDescent="0.25">
      <c r="A33" s="37">
        <v>13</v>
      </c>
      <c r="B33" s="37" t="s">
        <v>16</v>
      </c>
    </row>
    <row r="34" spans="1:2" x14ac:dyDescent="0.25">
      <c r="B34" s="32" t="s">
        <v>182</v>
      </c>
    </row>
    <row r="35" spans="1:2" x14ac:dyDescent="0.25">
      <c r="B35" s="32" t="s">
        <v>134</v>
      </c>
    </row>
  </sheetData>
  <hyperlinks>
    <hyperlink ref="B34" location="'GCI1'!A1" display="Global Cybersecurity Index scores for World and Arab States, 2017-2024" xr:uid="{8013E0CA-4303-4534-83E9-0ECCDF7662C2}"/>
    <hyperlink ref="B35" location="'GCI2'!A1" display="Weighted Pillar and Indicator Scores by country, 2024" xr:uid="{F3232A9A-1640-4328-97BE-62A26D98AC26}"/>
    <hyperlink ref="B32" location="'e-waste'!A1" display="E-waste indicators, 2024" xr:uid="{CBDA0AE0-3D91-49E6-A0F9-AA2876557ABC}"/>
    <hyperlink ref="B30" location="'investment and revenue'!A1" display="Investment in and revenue from all telecommunication services, 2015-2023" xr:uid="{E8F61DC1-9A6E-461A-ABC1-A4CA45D03DBB}"/>
    <hyperlink ref="B27" location="'ICT skill levels'!A1" display="Percentage of Internet users with ICT skills, by skill level" xr:uid="{297523E4-5807-4B42-A561-EB75AD71761A}"/>
    <hyperlink ref="B25" location="'mbo gender'!A1" display="Percentage of individuals who own a mobile cellular telephone by gender, 2010-2023" xr:uid="{42B534E3-29FD-4A9B-9288-A8450AC02C23}"/>
    <hyperlink ref="B24" location="mbo!A1" display="Percentage of individuals who own a mobile cellular telephone, 2013-2023" xr:uid="{3DA9C604-1EEA-40CC-905A-237C64B89008}"/>
    <hyperlink ref="B3" location="regulation!A1" display="Regulation indicators" xr:uid="{245B7976-2046-416A-94F1-EFC222868B31}"/>
    <hyperlink ref="B5" location="'Internet use'!A1" display="Percentage of individuals using the Internet" xr:uid="{5FE70CDE-9290-4B16-A5A1-36F7AB78E5AC}"/>
    <hyperlink ref="B6" location="'Int use gender'!A1" display="Percentage of individuals using the Internet, by gender, 2005-2023" xr:uid="{E99B8B56-6EC9-46A8-90D1-46117488D893}"/>
    <hyperlink ref="B7" location="'int use age'!A1" display="Percentage of individuals using the Internet, by age, 2005-2023" xr:uid="{C97335A9-07FA-41B8-B5EA-572229135D75}"/>
    <hyperlink ref="B10" location="subscriptions!A1" display="Subscriptions per 100 inhabitants, 2005-2023" xr:uid="{6A314220-C768-48BE-B566-D168F30420EA}"/>
    <hyperlink ref="B11" location="'fxd brb speed'!A1" display="Fixed broadband subscriptions by speed as a % of total fixed broadband subscriptions, 2007-2023" xr:uid="{A057D005-71E0-4FF4-9B80-CFD1D9E754A9}"/>
    <hyperlink ref="B13" location="'mob netw coverage'!A1" display="Percentage of population covered by type of mobile network " xr:uid="{4E0EAB73-1B50-4E32-B9B3-97B2F48547E5}"/>
    <hyperlink ref="B18" location="traffic!A1" display="Internet traffic per year (GB per subscription), 2010-2023" xr:uid="{62751E8F-D268-4C7A-A8CC-D1B491BB307F}"/>
    <hyperlink ref="B20" location="bandwidth!A1" display="International bandwidth usage (bits per Internet user), 2010-2023" xr:uid="{86D29946-9923-404E-A12C-BDCA76B50383}"/>
    <hyperlink ref="B22" location="affordability!A1" display="Basket prices as a percentage of GNI p.c., 2018-2024" xr:uid="{E20F0EAA-48E6-4E85-ABF1-AFC35EE0CE0F}"/>
    <hyperlink ref="B8" location="'Int use urban-rural'!A1" display="Percentage of individuals using the Internet, by urban or rural residence, 2005-2022" xr:uid="{53A60BCE-0581-4371-90AE-1979CFFB670C}"/>
    <hyperlink ref="B15" location="'fxd brb infra'!A1" display="Percentage of population within reach of a fibre node, 2023" xr:uid="{3426C9BE-0D8E-4ECE-BAC4-B26D1568538B}"/>
    <hyperlink ref="B16" location="'fxd brb infra'!A50" display="Fibre network" xr:uid="{C769BFBE-71E6-4D94-9DA9-41067263A71A}"/>
    <hyperlink ref="B28" location="'ICT skills - activities'!A1" display="Percentage of Internet users with ICT skills, by activity" xr:uid="{E4B30BAC-A065-4DA6-BA8B-4420FDBDF7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080C-9D3B-4A7B-97EF-06F1C1951E51}">
  <sheetPr codeName="Sheet2"/>
  <dimension ref="A1:AJ66"/>
  <sheetViews>
    <sheetView workbookViewId="0"/>
  </sheetViews>
  <sheetFormatPr defaultRowHeight="15" x14ac:dyDescent="0.25"/>
  <cols>
    <col min="1" max="1" width="47.7109375" customWidth="1"/>
    <col min="2" max="6" width="14.28515625" customWidth="1"/>
  </cols>
  <sheetData>
    <row r="1" spans="1:36" x14ac:dyDescent="0.25">
      <c r="A1" s="1" t="s">
        <v>226</v>
      </c>
      <c r="P1" s="34" t="s">
        <v>17</v>
      </c>
    </row>
    <row r="3" spans="1:36" x14ac:dyDescent="0.25">
      <c r="A3" s="6"/>
      <c r="B3" s="27">
        <v>2007</v>
      </c>
      <c r="C3" s="27">
        <v>2008</v>
      </c>
      <c r="D3" s="27">
        <v>2009</v>
      </c>
      <c r="E3" s="27">
        <v>2010</v>
      </c>
      <c r="F3" s="27">
        <v>2011</v>
      </c>
      <c r="G3" s="27">
        <v>2012</v>
      </c>
      <c r="H3" s="27">
        <v>2013</v>
      </c>
      <c r="I3" s="27">
        <v>2014</v>
      </c>
      <c r="J3" s="27">
        <v>2015</v>
      </c>
      <c r="K3" s="27">
        <v>2016</v>
      </c>
      <c r="L3" s="27">
        <v>2017</v>
      </c>
      <c r="M3" s="27">
        <v>2018</v>
      </c>
      <c r="N3" s="27">
        <v>2019</v>
      </c>
      <c r="O3" s="27">
        <v>2020</v>
      </c>
      <c r="P3" s="27">
        <v>2021</v>
      </c>
      <c r="Q3" s="27">
        <v>2022</v>
      </c>
    </row>
    <row r="4" spans="1:36" x14ac:dyDescent="0.25">
      <c r="A4" t="s">
        <v>18</v>
      </c>
      <c r="B4" s="39">
        <v>0.48799999999999999</v>
      </c>
      <c r="C4" s="39">
        <v>0.372</v>
      </c>
      <c r="D4" s="39">
        <v>0.23300000000000001</v>
      </c>
      <c r="E4" s="39">
        <v>0.186</v>
      </c>
      <c r="F4" s="39">
        <v>0.182</v>
      </c>
      <c r="G4" s="39">
        <v>0.159</v>
      </c>
      <c r="H4" s="39">
        <v>0.159</v>
      </c>
      <c r="I4" s="39">
        <v>0.13600000000000001</v>
      </c>
      <c r="J4" s="39">
        <v>0.13600000000000001</v>
      </c>
      <c r="K4" s="39">
        <v>0.114</v>
      </c>
      <c r="L4" s="39">
        <v>0.114</v>
      </c>
      <c r="M4" s="39">
        <v>4.4999999999999998E-2</v>
      </c>
      <c r="N4" s="39">
        <v>4.4999999999999998E-2</v>
      </c>
      <c r="O4" s="39">
        <v>4.4999999999999998E-2</v>
      </c>
      <c r="P4" s="39">
        <v>4.4999999999999998E-2</v>
      </c>
      <c r="Q4" s="39">
        <v>4.4999999999999998E-2</v>
      </c>
    </row>
    <row r="5" spans="1:36" x14ac:dyDescent="0.25">
      <c r="A5" t="s">
        <v>20</v>
      </c>
      <c r="B5" s="39">
        <v>0.51200000000000001</v>
      </c>
      <c r="C5" s="39">
        <v>0.58099999999999996</v>
      </c>
      <c r="D5" s="39">
        <v>0.69799999999999995</v>
      </c>
      <c r="E5" s="39">
        <v>0.628</v>
      </c>
      <c r="F5" s="39">
        <v>0.63600000000000001</v>
      </c>
      <c r="G5" s="39">
        <v>0.63600000000000001</v>
      </c>
      <c r="H5" s="39">
        <v>0.59099999999999997</v>
      </c>
      <c r="I5" s="39">
        <v>0.61399999999999999</v>
      </c>
      <c r="J5" s="39">
        <v>0.56799999999999995</v>
      </c>
      <c r="K5" s="39">
        <v>0.59099999999999997</v>
      </c>
      <c r="L5" s="39">
        <v>0.59099999999999997</v>
      </c>
      <c r="M5" s="39">
        <v>0.54500000000000004</v>
      </c>
      <c r="N5" s="39">
        <v>0.432</v>
      </c>
      <c r="O5" s="39">
        <v>0.34100000000000003</v>
      </c>
      <c r="P5" s="39">
        <v>0.34100000000000003</v>
      </c>
      <c r="Q5" s="39">
        <v>0.318</v>
      </c>
    </row>
    <row r="6" spans="1:36" x14ac:dyDescent="0.25">
      <c r="A6" t="s">
        <v>21</v>
      </c>
      <c r="B6" s="39">
        <v>0</v>
      </c>
      <c r="C6" s="39">
        <v>4.7E-2</v>
      </c>
      <c r="D6" s="39">
        <v>4.7E-2</v>
      </c>
      <c r="E6" s="39">
        <v>0.16300000000000001</v>
      </c>
      <c r="F6" s="39">
        <v>0.159</v>
      </c>
      <c r="G6" s="39">
        <v>0.182</v>
      </c>
      <c r="H6" s="39">
        <v>0.22700000000000001</v>
      </c>
      <c r="I6" s="39">
        <v>0.22700000000000001</v>
      </c>
      <c r="J6" s="39">
        <v>0.25</v>
      </c>
      <c r="K6" s="39">
        <v>0.25</v>
      </c>
      <c r="L6" s="39">
        <v>0.25</v>
      </c>
      <c r="M6" s="39">
        <v>0.318</v>
      </c>
      <c r="N6" s="39">
        <v>0.38600000000000001</v>
      </c>
      <c r="O6" s="39">
        <v>0.45500000000000002</v>
      </c>
      <c r="P6" s="39">
        <v>0.45500000000000002</v>
      </c>
      <c r="Q6" s="39">
        <v>0.45500000000000002</v>
      </c>
    </row>
    <row r="7" spans="1:36" x14ac:dyDescent="0.25">
      <c r="A7" t="s">
        <v>22</v>
      </c>
      <c r="B7" s="39">
        <v>0</v>
      </c>
      <c r="C7" s="39">
        <v>0</v>
      </c>
      <c r="D7" s="39">
        <v>2.3E-2</v>
      </c>
      <c r="E7" s="39">
        <v>2.3E-2</v>
      </c>
      <c r="F7" s="39">
        <v>2.3E-2</v>
      </c>
      <c r="G7" s="39">
        <v>2.3E-2</v>
      </c>
      <c r="H7" s="39">
        <v>2.3E-2</v>
      </c>
      <c r="I7" s="39">
        <v>2.3E-2</v>
      </c>
      <c r="J7" s="39">
        <v>4.4999999999999998E-2</v>
      </c>
      <c r="K7" s="39">
        <v>4.4999999999999998E-2</v>
      </c>
      <c r="L7" s="39">
        <v>4.4999999999999998E-2</v>
      </c>
      <c r="M7" s="39">
        <v>9.0999999999999998E-2</v>
      </c>
      <c r="N7" s="39">
        <v>0.13600000000000001</v>
      </c>
      <c r="O7" s="39">
        <v>0.159</v>
      </c>
      <c r="P7" s="39">
        <v>0.159</v>
      </c>
      <c r="Q7" s="39">
        <v>0.182</v>
      </c>
      <c r="U7" s="39"/>
      <c r="V7" s="39"/>
      <c r="W7" s="39"/>
      <c r="X7" s="39"/>
      <c r="Y7" s="39"/>
      <c r="Z7" s="39"/>
      <c r="AA7" s="39"/>
      <c r="AB7" s="39"/>
      <c r="AC7" s="39"/>
      <c r="AD7" s="39"/>
      <c r="AE7" s="39"/>
      <c r="AF7" s="39"/>
      <c r="AG7" s="39"/>
      <c r="AH7" s="39"/>
      <c r="AI7" s="12"/>
      <c r="AJ7" s="39"/>
    </row>
    <row r="8" spans="1:36" x14ac:dyDescent="0.25">
      <c r="A8" s="1"/>
      <c r="U8" s="39"/>
      <c r="V8" s="39"/>
      <c r="W8" s="39"/>
      <c r="X8" s="39"/>
      <c r="Y8" s="39"/>
      <c r="Z8" s="39"/>
      <c r="AA8" s="39"/>
      <c r="AB8" s="39"/>
      <c r="AC8" s="39"/>
      <c r="AD8" s="39"/>
      <c r="AE8" s="39"/>
      <c r="AF8" s="39"/>
      <c r="AG8" s="39"/>
      <c r="AH8" s="39"/>
      <c r="AI8" s="12"/>
      <c r="AJ8" s="39"/>
    </row>
    <row r="9" spans="1:36" x14ac:dyDescent="0.25">
      <c r="A9" t="s">
        <v>102</v>
      </c>
      <c r="U9" s="39"/>
      <c r="V9" s="39"/>
      <c r="W9" s="39"/>
      <c r="X9" s="39"/>
      <c r="Y9" s="39"/>
      <c r="Z9" s="39"/>
      <c r="AA9" s="39"/>
      <c r="AB9" s="39"/>
      <c r="AC9" s="39"/>
      <c r="AD9" s="39"/>
      <c r="AE9" s="39"/>
      <c r="AF9" s="39"/>
      <c r="AG9" s="39"/>
      <c r="AH9" s="39"/>
      <c r="AI9" s="12"/>
      <c r="AJ9" s="39"/>
    </row>
    <row r="10" spans="1:36" x14ac:dyDescent="0.25">
      <c r="A10" t="s">
        <v>103</v>
      </c>
      <c r="Z10" s="39"/>
      <c r="AA10" s="39"/>
      <c r="AB10" s="39"/>
      <c r="AC10" s="39"/>
      <c r="AD10" s="39"/>
      <c r="AE10" s="39"/>
      <c r="AF10" s="39"/>
      <c r="AG10" s="39"/>
      <c r="AH10" s="39"/>
      <c r="AI10" s="12"/>
      <c r="AJ10" s="39"/>
    </row>
    <row r="11" spans="1:36" x14ac:dyDescent="0.25">
      <c r="A11" t="s">
        <v>104</v>
      </c>
    </row>
    <row r="12" spans="1:36" x14ac:dyDescent="0.25">
      <c r="A12" t="s">
        <v>105</v>
      </c>
      <c r="I12" s="39"/>
      <c r="J12" s="39"/>
      <c r="K12" s="39"/>
      <c r="L12" s="39"/>
      <c r="M12" s="39"/>
      <c r="N12" s="39"/>
      <c r="O12" s="39"/>
      <c r="P12" s="39"/>
      <c r="Q12" s="39"/>
      <c r="R12" s="39"/>
      <c r="S12" s="39"/>
      <c r="T12" s="39"/>
      <c r="U12" s="39"/>
      <c r="V12" s="39"/>
      <c r="W12" s="39"/>
      <c r="X12" s="39"/>
    </row>
    <row r="13" spans="1:36" x14ac:dyDescent="0.25">
      <c r="A13" t="s">
        <v>106</v>
      </c>
      <c r="I13" s="39"/>
      <c r="J13" s="39"/>
      <c r="K13" s="39"/>
      <c r="L13" s="39"/>
      <c r="M13" s="39"/>
      <c r="N13" s="39"/>
      <c r="O13" s="39"/>
      <c r="P13" s="39"/>
      <c r="Q13" s="39"/>
      <c r="R13" s="39"/>
      <c r="S13" s="39"/>
      <c r="T13" s="39"/>
      <c r="U13" s="39"/>
      <c r="V13" s="39"/>
      <c r="W13" s="39"/>
      <c r="X13" s="39"/>
    </row>
    <row r="14" spans="1:36" x14ac:dyDescent="0.25">
      <c r="A14" t="s">
        <v>174</v>
      </c>
      <c r="I14" s="39"/>
      <c r="J14" s="39"/>
      <c r="K14" s="39"/>
      <c r="L14" s="39"/>
      <c r="M14" s="39"/>
      <c r="N14" s="39"/>
      <c r="O14" s="39"/>
      <c r="P14" s="39"/>
      <c r="Q14" s="39"/>
      <c r="R14" s="39"/>
      <c r="S14" s="39"/>
      <c r="T14" s="39"/>
      <c r="U14" s="39"/>
      <c r="V14" s="39"/>
      <c r="W14" s="39"/>
      <c r="X14" s="39"/>
    </row>
    <row r="15" spans="1:36" x14ac:dyDescent="0.25">
      <c r="A15" t="s">
        <v>23</v>
      </c>
      <c r="I15" s="39"/>
      <c r="J15" s="39"/>
      <c r="K15" s="39"/>
      <c r="L15" s="54"/>
      <c r="M15" s="39"/>
      <c r="N15" s="39"/>
      <c r="O15" s="39"/>
      <c r="P15" s="39"/>
      <c r="Q15" s="39"/>
      <c r="R15" s="39"/>
      <c r="S15" s="39"/>
      <c r="T15" s="55"/>
      <c r="U15" s="39"/>
      <c r="V15" s="39"/>
      <c r="W15" s="39"/>
      <c r="X15" s="39"/>
    </row>
    <row r="18" spans="1:22" x14ac:dyDescent="0.25">
      <c r="A18" s="1" t="s">
        <v>107</v>
      </c>
    </row>
    <row r="19" spans="1:22" ht="15.75" customHeight="1" x14ac:dyDescent="0.25">
      <c r="A19" s="6"/>
      <c r="B19" s="27" t="s">
        <v>24</v>
      </c>
      <c r="C19" s="27" t="s">
        <v>227</v>
      </c>
      <c r="D19" s="28" t="s">
        <v>228</v>
      </c>
      <c r="E19" s="28" t="s">
        <v>229</v>
      </c>
      <c r="F19" s="28" t="s">
        <v>230</v>
      </c>
      <c r="M19" s="26"/>
      <c r="N19" s="26"/>
      <c r="O19" s="26"/>
      <c r="S19" s="26"/>
      <c r="T19" s="26"/>
      <c r="U19" s="26"/>
      <c r="V19" s="26"/>
    </row>
    <row r="20" spans="1:22" x14ac:dyDescent="0.25">
      <c r="A20" t="s">
        <v>108</v>
      </c>
      <c r="B20" s="40">
        <v>0.42580045170718744</v>
      </c>
      <c r="C20" s="40">
        <v>0.38869463869463872</v>
      </c>
      <c r="D20" s="40">
        <v>0.35622710622710618</v>
      </c>
      <c r="E20" s="40">
        <v>0.4391025641025641</v>
      </c>
      <c r="F20" s="40">
        <v>0.29743589743589743</v>
      </c>
      <c r="M20" s="26"/>
      <c r="N20" s="26"/>
      <c r="O20" s="26"/>
      <c r="S20" s="26"/>
      <c r="T20" s="26"/>
      <c r="U20" s="26"/>
      <c r="V20" s="26"/>
    </row>
    <row r="21" spans="1:22" x14ac:dyDescent="0.25">
      <c r="A21" t="s">
        <v>109</v>
      </c>
      <c r="B21" s="40">
        <v>0.62877171594026215</v>
      </c>
      <c r="C21" s="40">
        <v>0.70855614973262027</v>
      </c>
      <c r="D21" s="40">
        <v>0.69117647058823528</v>
      </c>
      <c r="E21" s="40">
        <v>0.73529411764705888</v>
      </c>
      <c r="F21" s="40">
        <v>0.58823529411764708</v>
      </c>
    </row>
    <row r="22" spans="1:22" x14ac:dyDescent="0.25">
      <c r="A22" t="s">
        <v>110</v>
      </c>
      <c r="B22" s="40">
        <v>0.57607159679698539</v>
      </c>
      <c r="C22" s="40">
        <v>0.47727272727272729</v>
      </c>
      <c r="D22" s="40">
        <v>0.48051948051948051</v>
      </c>
      <c r="E22" s="40">
        <v>0.48863636363636365</v>
      </c>
      <c r="F22" s="40">
        <v>0.4</v>
      </c>
    </row>
    <row r="23" spans="1:22" x14ac:dyDescent="0.25">
      <c r="A23" t="s">
        <v>111</v>
      </c>
      <c r="B23" s="40">
        <v>0.42389896373056996</v>
      </c>
      <c r="C23" s="40">
        <v>0.41335227272727271</v>
      </c>
      <c r="D23" s="40">
        <v>0.3705357142857143</v>
      </c>
      <c r="E23" s="40">
        <v>0.453125</v>
      </c>
      <c r="F23" s="40">
        <v>0.27500000000000002</v>
      </c>
      <c r="I23" s="40"/>
      <c r="J23" s="40"/>
      <c r="K23" s="40"/>
      <c r="L23" s="40"/>
    </row>
    <row r="24" spans="1:22" x14ac:dyDescent="0.25">
      <c r="A24" t="s">
        <v>112</v>
      </c>
      <c r="B24" s="40">
        <v>0.33886010362694302</v>
      </c>
      <c r="C24" s="40">
        <v>0.23181818181818181</v>
      </c>
      <c r="D24" s="26">
        <v>0.16428571428571428</v>
      </c>
      <c r="E24" s="26">
        <v>0.2</v>
      </c>
      <c r="F24" s="26">
        <v>0.16</v>
      </c>
      <c r="I24" s="40"/>
      <c r="J24" s="40"/>
      <c r="K24" s="40"/>
      <c r="L24" s="40"/>
    </row>
    <row r="25" spans="1:22" x14ac:dyDescent="0.25">
      <c r="A25" t="s">
        <v>113</v>
      </c>
      <c r="B25" s="40">
        <v>0.59219750076196287</v>
      </c>
      <c r="C25" s="40">
        <v>0.49732620320855614</v>
      </c>
      <c r="D25" s="26">
        <v>0.48109243697478993</v>
      </c>
      <c r="E25" s="26">
        <v>0.47426470588235292</v>
      </c>
      <c r="F25" s="26">
        <v>0.41176470588235292</v>
      </c>
      <c r="I25" s="40"/>
      <c r="J25" s="40"/>
      <c r="K25" s="40"/>
      <c r="L25" s="40"/>
      <c r="M25" s="26"/>
      <c r="N25" s="26"/>
      <c r="O25" s="26"/>
      <c r="S25" s="26"/>
      <c r="T25" s="26"/>
      <c r="U25" s="26"/>
      <c r="V25" s="26"/>
    </row>
    <row r="26" spans="1:22" x14ac:dyDescent="0.25">
      <c r="A26" t="s">
        <v>114</v>
      </c>
      <c r="B26" s="40">
        <v>0.38568652849740931</v>
      </c>
      <c r="C26" s="40">
        <v>0.27272727272727271</v>
      </c>
      <c r="D26" s="26">
        <v>0.24553571428571427</v>
      </c>
      <c r="E26" s="26">
        <v>0.29296875</v>
      </c>
      <c r="F26" s="26">
        <v>0.15</v>
      </c>
      <c r="I26" s="40"/>
      <c r="J26" s="40"/>
      <c r="K26" s="40"/>
      <c r="L26" s="40"/>
      <c r="M26" s="26"/>
      <c r="N26" s="26"/>
      <c r="O26" s="26"/>
      <c r="S26" s="26"/>
      <c r="T26" s="26"/>
      <c r="U26" s="26"/>
      <c r="V26" s="26"/>
    </row>
    <row r="27" spans="1:22" x14ac:dyDescent="0.25">
      <c r="A27" t="s">
        <v>115</v>
      </c>
      <c r="B27" s="26">
        <v>0.59158793050899117</v>
      </c>
      <c r="C27" s="26">
        <v>0.52139037433155078</v>
      </c>
      <c r="D27" s="26">
        <v>0.51050420168067223</v>
      </c>
      <c r="E27" s="26">
        <v>0.52941176470588236</v>
      </c>
      <c r="F27" s="26">
        <v>0.70588235294117652</v>
      </c>
      <c r="I27" s="40"/>
      <c r="J27" s="40"/>
      <c r="K27" s="40"/>
      <c r="L27" s="40"/>
    </row>
    <row r="28" spans="1:22" x14ac:dyDescent="0.25">
      <c r="A28" t="s">
        <v>116</v>
      </c>
      <c r="B28" s="40">
        <v>0.36373056994818653</v>
      </c>
      <c r="C28" s="40">
        <v>0.41818181818181815</v>
      </c>
      <c r="D28" s="40">
        <v>0.38571428571428573</v>
      </c>
      <c r="E28" s="40">
        <v>0.36249999999999999</v>
      </c>
      <c r="F28" s="40">
        <v>0.44</v>
      </c>
      <c r="I28" s="40"/>
      <c r="J28" s="40"/>
      <c r="K28" s="40"/>
      <c r="L28" s="40"/>
    </row>
    <row r="29" spans="1:22" x14ac:dyDescent="0.25">
      <c r="A29" t="s">
        <v>117</v>
      </c>
      <c r="B29" s="40">
        <v>0.50557253147926728</v>
      </c>
      <c r="C29" s="40">
        <v>0.46063196063196066</v>
      </c>
      <c r="D29" s="40">
        <v>0.43701668701668706</v>
      </c>
      <c r="E29" s="40">
        <v>0.47346866096866097</v>
      </c>
      <c r="F29" s="40">
        <v>0.40227920227920227</v>
      </c>
      <c r="I29" s="40"/>
      <c r="J29" s="40"/>
      <c r="K29" s="40"/>
      <c r="L29" s="40"/>
    </row>
    <row r="31" spans="1:22" x14ac:dyDescent="0.25">
      <c r="A31" s="40" t="s">
        <v>231</v>
      </c>
    </row>
    <row r="32" spans="1:22" x14ac:dyDescent="0.25">
      <c r="A32" s="40" t="s">
        <v>232</v>
      </c>
    </row>
    <row r="33" spans="1:9" x14ac:dyDescent="0.25">
      <c r="A33" t="s">
        <v>23</v>
      </c>
    </row>
    <row r="36" spans="1:9" x14ac:dyDescent="0.25">
      <c r="A36" s="1" t="s">
        <v>239</v>
      </c>
    </row>
    <row r="37" spans="1:9" ht="15" customHeight="1" x14ac:dyDescent="0.25">
      <c r="A37" s="6"/>
      <c r="B37" s="28" t="s">
        <v>24</v>
      </c>
      <c r="C37" s="27" t="s">
        <v>227</v>
      </c>
      <c r="D37" s="28" t="s">
        <v>228</v>
      </c>
      <c r="E37" s="28" t="s">
        <v>229</v>
      </c>
      <c r="F37" s="28" t="s">
        <v>230</v>
      </c>
    </row>
    <row r="38" spans="1:9" x14ac:dyDescent="0.25">
      <c r="A38" t="s">
        <v>233</v>
      </c>
      <c r="B38" s="26">
        <v>0.87564766839378239</v>
      </c>
      <c r="C38" s="26">
        <v>0.86363636363636365</v>
      </c>
      <c r="D38" s="26">
        <v>0.7857142857142857</v>
      </c>
      <c r="E38" s="26">
        <v>0.9375</v>
      </c>
      <c r="F38" s="26">
        <v>0.6</v>
      </c>
      <c r="I38" s="26"/>
    </row>
    <row r="39" spans="1:9" x14ac:dyDescent="0.25">
      <c r="A39" t="s">
        <v>176</v>
      </c>
      <c r="B39" s="26">
        <v>0.56994818652849744</v>
      </c>
      <c r="C39" s="26">
        <v>0.56818181818181823</v>
      </c>
      <c r="D39" s="26">
        <v>0.4642857142857143</v>
      </c>
      <c r="E39" s="26">
        <v>0.6875</v>
      </c>
      <c r="F39" s="26">
        <v>0.4</v>
      </c>
      <c r="I39" s="26"/>
    </row>
    <row r="40" spans="1:9" x14ac:dyDescent="0.25">
      <c r="A40" t="s">
        <v>234</v>
      </c>
      <c r="B40" s="26">
        <v>0.39896373056994816</v>
      </c>
      <c r="C40" s="26">
        <v>0.40909090909090912</v>
      </c>
      <c r="D40" s="26">
        <v>0.42857142857142855</v>
      </c>
      <c r="E40" s="26">
        <v>0.5625</v>
      </c>
      <c r="F40" s="26">
        <v>0.2</v>
      </c>
      <c r="I40" s="26"/>
    </row>
    <row r="41" spans="1:9" x14ac:dyDescent="0.25">
      <c r="A41" t="s">
        <v>235</v>
      </c>
      <c r="B41" s="26">
        <v>0.5803108808290155</v>
      </c>
      <c r="C41" s="26">
        <v>0.22727272727272727</v>
      </c>
      <c r="D41" s="26">
        <v>0.21428571428571427</v>
      </c>
      <c r="E41" s="26">
        <v>0.4375</v>
      </c>
      <c r="F41" s="26">
        <v>0</v>
      </c>
      <c r="I41" s="26"/>
    </row>
    <row r="42" spans="1:9" x14ac:dyDescent="0.25">
      <c r="A42" t="s">
        <v>236</v>
      </c>
      <c r="B42" s="26">
        <v>0.13989637305699482</v>
      </c>
      <c r="C42" s="26">
        <v>0.20454545454545456</v>
      </c>
      <c r="D42" s="26">
        <v>0.21428571428571427</v>
      </c>
      <c r="E42" s="26">
        <v>0.3125</v>
      </c>
      <c r="F42" s="26">
        <v>0.2</v>
      </c>
      <c r="I42" s="26"/>
    </row>
    <row r="43" spans="1:9" x14ac:dyDescent="0.25">
      <c r="A43" t="s">
        <v>237</v>
      </c>
      <c r="B43" s="26">
        <v>0.48186528497409326</v>
      </c>
      <c r="C43" s="26">
        <v>0.38636363636363635</v>
      </c>
      <c r="D43" s="26">
        <v>0.35714285714285715</v>
      </c>
      <c r="E43" s="26">
        <v>0.375</v>
      </c>
      <c r="F43" s="26">
        <v>0.2</v>
      </c>
      <c r="I43" s="26"/>
    </row>
    <row r="44" spans="1:9" x14ac:dyDescent="0.25">
      <c r="A44" t="s">
        <v>238</v>
      </c>
      <c r="B44" s="26">
        <v>0.19170984455958548</v>
      </c>
      <c r="C44" s="26">
        <v>6.8181818181818177E-2</v>
      </c>
      <c r="D44" s="26">
        <v>3.5714285714285712E-2</v>
      </c>
      <c r="E44" s="26">
        <v>6.25E-2</v>
      </c>
      <c r="F44" s="26">
        <v>0</v>
      </c>
      <c r="I44" s="26"/>
    </row>
    <row r="46" spans="1:9" x14ac:dyDescent="0.25">
      <c r="A46" t="s">
        <v>240</v>
      </c>
    </row>
    <row r="47" spans="1:9" x14ac:dyDescent="0.25">
      <c r="A47" t="s">
        <v>241</v>
      </c>
    </row>
    <row r="48" spans="1:9" x14ac:dyDescent="0.25">
      <c r="A48" t="s">
        <v>242</v>
      </c>
    </row>
    <row r="49" spans="1:6" x14ac:dyDescent="0.25">
      <c r="A49" t="s">
        <v>175</v>
      </c>
    </row>
    <row r="52" spans="1:6" x14ac:dyDescent="0.25">
      <c r="A52" s="1" t="s">
        <v>243</v>
      </c>
    </row>
    <row r="53" spans="1:6" ht="16.5" customHeight="1" x14ac:dyDescent="0.25">
      <c r="A53" s="6"/>
      <c r="B53" s="28" t="s">
        <v>24</v>
      </c>
      <c r="C53" s="27" t="s">
        <v>227</v>
      </c>
      <c r="D53" s="28" t="s">
        <v>228</v>
      </c>
      <c r="E53" s="28" t="s">
        <v>229</v>
      </c>
      <c r="F53" s="28" t="s">
        <v>230</v>
      </c>
    </row>
    <row r="54" spans="1:6" x14ac:dyDescent="0.25">
      <c r="A54" t="s">
        <v>244</v>
      </c>
      <c r="B54" s="40">
        <v>0.55958549222797926</v>
      </c>
      <c r="C54" s="40">
        <v>0.38636363636363635</v>
      </c>
      <c r="D54" s="40">
        <v>0.39285714285714285</v>
      </c>
      <c r="E54" s="40">
        <v>0.5625</v>
      </c>
      <c r="F54" s="40">
        <v>0.4</v>
      </c>
    </row>
    <row r="55" spans="1:6" x14ac:dyDescent="0.25">
      <c r="A55" t="s">
        <v>245</v>
      </c>
      <c r="B55" s="40">
        <v>0.25388601036269431</v>
      </c>
      <c r="C55" s="40">
        <v>0.22727272727272727</v>
      </c>
      <c r="D55" s="40">
        <v>0.17857142857142858</v>
      </c>
      <c r="E55" s="40">
        <v>0.125</v>
      </c>
      <c r="F55" s="40">
        <v>0.4</v>
      </c>
    </row>
    <row r="56" spans="1:6" x14ac:dyDescent="0.25">
      <c r="A56" t="s">
        <v>246</v>
      </c>
      <c r="B56" s="40">
        <v>0.39896373056994816</v>
      </c>
      <c r="C56" s="40">
        <v>0.22727272727272727</v>
      </c>
      <c r="D56" s="40">
        <v>0.14285714285714285</v>
      </c>
      <c r="E56" s="40">
        <v>0.25</v>
      </c>
      <c r="F56" s="40">
        <v>0</v>
      </c>
    </row>
    <row r="57" spans="1:6" x14ac:dyDescent="0.25">
      <c r="A57" t="s">
        <v>178</v>
      </c>
      <c r="B57" s="40">
        <v>0.32124352331606215</v>
      </c>
      <c r="C57" s="40">
        <v>2.2727272727272728E-2</v>
      </c>
      <c r="D57" s="40">
        <v>3.5714285714285712E-2</v>
      </c>
      <c r="E57" s="40">
        <v>0</v>
      </c>
      <c r="F57" s="40">
        <v>0</v>
      </c>
    </row>
    <row r="58" spans="1:6" x14ac:dyDescent="0.25">
      <c r="A58" t="s">
        <v>179</v>
      </c>
      <c r="B58" s="40">
        <v>0.29533678756476683</v>
      </c>
      <c r="C58" s="40">
        <v>0.11363636363636363</v>
      </c>
      <c r="D58" s="40">
        <v>0.10714285714285714</v>
      </c>
      <c r="E58" s="40">
        <v>6.25E-2</v>
      </c>
      <c r="F58" s="40">
        <v>0</v>
      </c>
    </row>
    <row r="59" spans="1:6" x14ac:dyDescent="0.25">
      <c r="A59" t="s">
        <v>180</v>
      </c>
      <c r="B59" s="40">
        <v>0.20725388601036268</v>
      </c>
      <c r="C59" s="40">
        <v>0.15909090909090909</v>
      </c>
      <c r="D59" s="40">
        <v>0.17857142857142858</v>
      </c>
      <c r="E59" s="40">
        <v>0.25</v>
      </c>
      <c r="F59" s="40">
        <v>0</v>
      </c>
    </row>
    <row r="60" spans="1:6" x14ac:dyDescent="0.25">
      <c r="A60" t="s">
        <v>135</v>
      </c>
      <c r="B60" s="40">
        <v>0.15544041450777202</v>
      </c>
      <c r="C60" s="40">
        <v>2.2727272727272728E-2</v>
      </c>
      <c r="D60" s="40">
        <v>0</v>
      </c>
      <c r="E60" s="40">
        <v>0</v>
      </c>
      <c r="F60" s="40">
        <v>0</v>
      </c>
    </row>
    <row r="61" spans="1:6" x14ac:dyDescent="0.25">
      <c r="A61" t="s">
        <v>177</v>
      </c>
      <c r="B61" s="40">
        <v>0.46113989637305697</v>
      </c>
      <c r="C61" s="40">
        <v>0.47727272727272729</v>
      </c>
      <c r="D61" s="40">
        <v>0.4642857142857143</v>
      </c>
      <c r="E61" s="40">
        <v>0.5</v>
      </c>
      <c r="F61" s="40">
        <v>0.4</v>
      </c>
    </row>
    <row r="62" spans="1:6" x14ac:dyDescent="0.25">
      <c r="A62" t="s">
        <v>247</v>
      </c>
      <c r="B62" s="40">
        <v>0.22279792746113988</v>
      </c>
      <c r="C62" s="40">
        <v>4.5454545454545456E-2</v>
      </c>
      <c r="D62" s="40">
        <v>3.5714285714285712E-2</v>
      </c>
      <c r="E62" s="40">
        <v>6.25E-2</v>
      </c>
      <c r="F62" s="40">
        <v>0</v>
      </c>
    </row>
    <row r="63" spans="1:6" x14ac:dyDescent="0.25">
      <c r="A63" t="s">
        <v>25</v>
      </c>
      <c r="B63" s="40">
        <v>0.48186528497409326</v>
      </c>
      <c r="C63" s="40">
        <v>0.27272727272727271</v>
      </c>
      <c r="D63" s="40">
        <v>0.21428571428571427</v>
      </c>
      <c r="E63" s="40">
        <v>0.1875</v>
      </c>
      <c r="F63" s="40">
        <v>0.2</v>
      </c>
    </row>
    <row r="65" spans="1:1" x14ac:dyDescent="0.25">
      <c r="A65" t="s">
        <v>248</v>
      </c>
    </row>
    <row r="66" spans="1:1" x14ac:dyDescent="0.25">
      <c r="A66" t="s">
        <v>23</v>
      </c>
    </row>
  </sheetData>
  <hyperlinks>
    <hyperlink ref="P1" location="Contents!A1" display="Return to Contents" xr:uid="{20FF435F-97D0-4D9E-8D93-99E230B0E20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93A4D-83FE-4C41-9C04-8FC4F9EB0AB3}">
  <sheetPr codeName="Sheet3"/>
  <dimension ref="A1:U49"/>
  <sheetViews>
    <sheetView zoomScaleNormal="100" workbookViewId="0"/>
  </sheetViews>
  <sheetFormatPr defaultRowHeight="15" x14ac:dyDescent="0.25"/>
  <cols>
    <col min="1" max="1" width="24.5703125" customWidth="1"/>
  </cols>
  <sheetData>
    <row r="1" spans="1:21" x14ac:dyDescent="0.25">
      <c r="A1" s="1" t="s">
        <v>26</v>
      </c>
      <c r="U1" s="34" t="s">
        <v>17</v>
      </c>
    </row>
    <row r="2" spans="1:21" x14ac:dyDescent="0.25">
      <c r="A2" s="6"/>
      <c r="B2" s="6">
        <v>2005</v>
      </c>
      <c r="C2" s="6">
        <v>2006</v>
      </c>
      <c r="D2" s="6">
        <v>2007</v>
      </c>
      <c r="E2" s="6">
        <v>2008</v>
      </c>
      <c r="F2" s="6">
        <v>2009</v>
      </c>
      <c r="G2" s="6">
        <v>2010</v>
      </c>
      <c r="H2" s="6">
        <v>2011</v>
      </c>
      <c r="I2" s="6">
        <v>2012</v>
      </c>
      <c r="J2" s="6">
        <v>2013</v>
      </c>
      <c r="K2" s="6">
        <v>2014</v>
      </c>
      <c r="L2" s="6">
        <v>2015</v>
      </c>
      <c r="M2" s="6">
        <v>2016</v>
      </c>
      <c r="N2" s="6">
        <v>2017</v>
      </c>
      <c r="O2" s="6">
        <v>2018</v>
      </c>
      <c r="P2" s="6">
        <v>2019</v>
      </c>
      <c r="Q2" s="6">
        <v>2020</v>
      </c>
      <c r="R2" s="6">
        <v>2021</v>
      </c>
      <c r="S2" s="6">
        <v>2022</v>
      </c>
      <c r="T2" s="6">
        <v>2023</v>
      </c>
    </row>
    <row r="3" spans="1:21" s="53" customFormat="1" x14ac:dyDescent="0.25">
      <c r="A3" s="56" t="s">
        <v>183</v>
      </c>
      <c r="B3" s="57">
        <v>1.1433668265595001</v>
      </c>
      <c r="C3" s="57">
        <v>1.5</v>
      </c>
      <c r="D3" s="58">
        <v>1.7</v>
      </c>
      <c r="E3" s="58">
        <v>1.9</v>
      </c>
      <c r="F3" s="58">
        <v>2.2999999999999998</v>
      </c>
      <c r="G3" s="58">
        <v>2.8</v>
      </c>
      <c r="H3" s="58">
        <v>4.7</v>
      </c>
      <c r="I3" s="58">
        <v>7.7</v>
      </c>
      <c r="J3" s="58">
        <v>13</v>
      </c>
      <c r="K3" s="57">
        <v>21.362340758410301</v>
      </c>
      <c r="L3" s="58">
        <v>22</v>
      </c>
      <c r="M3" s="58">
        <v>23.2</v>
      </c>
      <c r="N3" s="58">
        <v>26</v>
      </c>
      <c r="O3" s="58">
        <v>29</v>
      </c>
      <c r="P3" s="58">
        <v>32.129391969865502</v>
      </c>
      <c r="Q3" s="58">
        <v>36.634739770000003</v>
      </c>
      <c r="R3" s="58">
        <v>39.387582568863699</v>
      </c>
      <c r="S3" s="58">
        <v>42.071865683328703</v>
      </c>
      <c r="T3" s="58">
        <v>44.758114388999999</v>
      </c>
    </row>
    <row r="4" spans="1:21" s="53" customFormat="1" x14ac:dyDescent="0.25">
      <c r="A4" s="56" t="s">
        <v>184</v>
      </c>
      <c r="B4" s="57">
        <v>1.27103143947107</v>
      </c>
      <c r="C4" s="57">
        <v>1.53785434624704</v>
      </c>
      <c r="D4" s="57">
        <v>1.79</v>
      </c>
      <c r="E4" s="57">
        <v>1.85</v>
      </c>
      <c r="F4" s="57">
        <v>2.2400000000000002</v>
      </c>
      <c r="G4" s="57">
        <v>3.13</v>
      </c>
      <c r="H4" s="57">
        <v>4.14832306562512</v>
      </c>
      <c r="I4" s="58">
        <v>4.5</v>
      </c>
      <c r="J4" s="58">
        <v>4.9000000000000004</v>
      </c>
      <c r="K4" s="58">
        <v>6</v>
      </c>
      <c r="L4" s="58">
        <v>11.2549879092022</v>
      </c>
      <c r="M4" s="58">
        <v>14.5</v>
      </c>
      <c r="N4" s="57">
        <v>18.7</v>
      </c>
      <c r="O4" s="58">
        <v>19</v>
      </c>
      <c r="P4" s="58">
        <v>20.5</v>
      </c>
      <c r="Q4" s="58">
        <v>22.120575720000001</v>
      </c>
      <c r="R4" s="58">
        <v>28.204698758522799</v>
      </c>
      <c r="S4" s="58">
        <v>30.0133679919293</v>
      </c>
      <c r="T4" s="58">
        <v>32.208269915926799</v>
      </c>
    </row>
    <row r="5" spans="1:21" x14ac:dyDescent="0.25">
      <c r="A5" s="56" t="s">
        <v>185</v>
      </c>
      <c r="B5" s="58">
        <v>3.26255403605122</v>
      </c>
      <c r="C5" s="57">
        <v>4.2899329751596804</v>
      </c>
      <c r="D5" s="57">
        <v>5.28</v>
      </c>
      <c r="E5" s="57">
        <v>6.25</v>
      </c>
      <c r="F5" s="57">
        <v>6.15</v>
      </c>
      <c r="G5" s="57">
        <v>6</v>
      </c>
      <c r="H5" s="57">
        <v>9</v>
      </c>
      <c r="I5" s="58">
        <v>16</v>
      </c>
      <c r="J5" s="58">
        <v>30</v>
      </c>
      <c r="K5" s="57">
        <v>36.744747444230001</v>
      </c>
      <c r="L5" s="58">
        <v>37.3120503733278</v>
      </c>
      <c r="M5" s="58">
        <v>42.257619751253998</v>
      </c>
      <c r="N5" s="58">
        <v>47.858705409501397</v>
      </c>
      <c r="O5" s="58">
        <v>54.202193520506398</v>
      </c>
      <c r="P5" s="58">
        <v>61.386486686101698</v>
      </c>
      <c r="Q5" s="58">
        <v>69.523030396127297</v>
      </c>
      <c r="R5" s="58">
        <v>78.738041813283402</v>
      </c>
      <c r="S5" s="58">
        <v>80.369566186536801</v>
      </c>
      <c r="T5" s="58">
        <v>81.359971788836503</v>
      </c>
    </row>
    <row r="6" spans="1:21" x14ac:dyDescent="0.25">
      <c r="A6" s="56" t="s">
        <v>186</v>
      </c>
      <c r="B6" s="57">
        <v>0.46991448865665703</v>
      </c>
      <c r="C6" s="57">
        <v>0.63270756446182896</v>
      </c>
      <c r="D6" s="57">
        <v>0.75</v>
      </c>
      <c r="E6" s="58">
        <v>0.92</v>
      </c>
      <c r="F6" s="58">
        <v>1.1299999999999999</v>
      </c>
      <c r="G6" s="58">
        <v>2.4</v>
      </c>
      <c r="H6" s="58">
        <v>3</v>
      </c>
      <c r="I6" s="58">
        <v>3.72503491597675</v>
      </c>
      <c r="J6" s="58">
        <v>5</v>
      </c>
      <c r="K6" s="57">
        <v>6</v>
      </c>
      <c r="L6" s="58">
        <v>6.55</v>
      </c>
      <c r="M6" s="58">
        <v>7.14</v>
      </c>
      <c r="N6" s="58">
        <v>7.79</v>
      </c>
      <c r="O6" s="58">
        <v>8.5</v>
      </c>
      <c r="P6" s="57">
        <v>9.2718060095318595</v>
      </c>
      <c r="Q6" s="58">
        <v>10.7926956524662</v>
      </c>
      <c r="R6" s="58">
        <v>12.5630626144478</v>
      </c>
      <c r="S6" s="58">
        <v>14.623829610026201</v>
      </c>
      <c r="T6" s="57">
        <v>17.0226320624352</v>
      </c>
    </row>
    <row r="7" spans="1:21" x14ac:dyDescent="0.25">
      <c r="A7" s="56" t="s">
        <v>187</v>
      </c>
      <c r="B7" s="57">
        <v>0.54214286575905601</v>
      </c>
      <c r="C7" s="57">
        <v>0.65759259035190698</v>
      </c>
      <c r="D7" s="57">
        <v>0.7</v>
      </c>
      <c r="E7" s="57">
        <v>0.81</v>
      </c>
      <c r="F7" s="58">
        <v>0.9</v>
      </c>
      <c r="G7" s="58">
        <v>1</v>
      </c>
      <c r="H7" s="58">
        <v>1.1100000000000001</v>
      </c>
      <c r="I7" s="58">
        <v>1.2199999447779299</v>
      </c>
      <c r="J7" s="57">
        <v>1.2642181111999999</v>
      </c>
      <c r="K7" s="57">
        <v>1.0423921264399401</v>
      </c>
      <c r="L7" s="58">
        <v>2</v>
      </c>
      <c r="M7" s="58">
        <v>2.2000000000000002</v>
      </c>
      <c r="N7" s="57">
        <v>2.6607485347534001</v>
      </c>
      <c r="O7" s="58">
        <v>4</v>
      </c>
      <c r="P7" s="58">
        <v>6.1</v>
      </c>
      <c r="Q7" s="58">
        <v>9.1730160240000007</v>
      </c>
      <c r="R7" s="58">
        <v>10.984668491761299</v>
      </c>
      <c r="S7" s="58">
        <v>11.000895670056099</v>
      </c>
      <c r="T7" s="58">
        <v>11.078373256980599</v>
      </c>
    </row>
    <row r="8" spans="1:21" x14ac:dyDescent="0.25">
      <c r="A8" s="56" t="s">
        <v>189</v>
      </c>
      <c r="B8" s="57">
        <v>6.0740871065981299</v>
      </c>
      <c r="C8" s="57">
        <v>6.8089110075331298</v>
      </c>
      <c r="D8" s="57">
        <v>8.2832198195303395</v>
      </c>
      <c r="E8" s="58">
        <v>14</v>
      </c>
      <c r="F8" s="58">
        <v>21</v>
      </c>
      <c r="G8" s="58">
        <v>30</v>
      </c>
      <c r="H8" s="58">
        <v>32</v>
      </c>
      <c r="I8" s="57">
        <v>34.74</v>
      </c>
      <c r="J8" s="58">
        <v>37.5</v>
      </c>
      <c r="K8" s="58">
        <v>40.26</v>
      </c>
      <c r="L8" s="57">
        <v>42.683014158278098</v>
      </c>
      <c r="M8" s="57">
        <v>50.322817867689203</v>
      </c>
      <c r="N8" s="57">
        <v>57.162146348489102</v>
      </c>
      <c r="O8" s="58">
        <v>59.5</v>
      </c>
      <c r="P8" s="57">
        <v>61.943397759308802</v>
      </c>
      <c r="Q8" s="58">
        <v>69.373360669999997</v>
      </c>
      <c r="R8" s="58">
        <v>70.282534371042104</v>
      </c>
      <c r="S8" s="58">
        <v>72.760101196509595</v>
      </c>
      <c r="T8" s="58">
        <v>73.539045723312796</v>
      </c>
    </row>
    <row r="9" spans="1:21" x14ac:dyDescent="0.25">
      <c r="A9" s="56" t="s">
        <v>188</v>
      </c>
      <c r="B9" s="57">
        <v>1.40265422575955</v>
      </c>
      <c r="C9" s="57">
        <v>2.0287447914719001</v>
      </c>
      <c r="D9" s="57">
        <v>2.93</v>
      </c>
      <c r="E9" s="58">
        <v>3.4</v>
      </c>
      <c r="F9" s="57">
        <v>3.84</v>
      </c>
      <c r="G9" s="58">
        <v>4.3</v>
      </c>
      <c r="H9" s="58">
        <v>5</v>
      </c>
      <c r="I9" s="58">
        <v>7.5</v>
      </c>
      <c r="J9" s="58">
        <v>10</v>
      </c>
      <c r="K9" s="57">
        <v>16.214872225752401</v>
      </c>
      <c r="L9" s="58">
        <v>18.3</v>
      </c>
      <c r="M9" s="58">
        <v>20.6</v>
      </c>
      <c r="N9" s="57">
        <v>23.2029719748646</v>
      </c>
      <c r="O9" s="58">
        <v>29.7</v>
      </c>
      <c r="P9" s="58">
        <v>36.539182395538603</v>
      </c>
      <c r="Q9" s="58">
        <v>41.226350369999999</v>
      </c>
      <c r="R9" s="58">
        <v>42.040470525208598</v>
      </c>
      <c r="S9" s="58">
        <v>41.775014503535701</v>
      </c>
      <c r="T9" s="58">
        <v>41.908787078975998</v>
      </c>
    </row>
    <row r="10" spans="1:21" x14ac:dyDescent="0.25">
      <c r="A10" s="56" t="s">
        <v>190</v>
      </c>
      <c r="B10" s="58">
        <v>0.26819560919901198</v>
      </c>
      <c r="C10" s="58">
        <v>0.31115917323571601</v>
      </c>
      <c r="D10" s="57">
        <v>0.37581596104479698</v>
      </c>
      <c r="E10" s="57">
        <v>1</v>
      </c>
      <c r="F10" s="58">
        <v>1.8</v>
      </c>
      <c r="G10" s="58">
        <v>2</v>
      </c>
      <c r="H10" s="58">
        <v>2.2000000000000002</v>
      </c>
      <c r="I10" s="58">
        <v>2.4</v>
      </c>
      <c r="J10" s="58">
        <v>2.5</v>
      </c>
      <c r="K10" s="58">
        <v>2.7</v>
      </c>
      <c r="L10" s="58">
        <v>2.9</v>
      </c>
      <c r="M10" s="58">
        <v>3.1</v>
      </c>
      <c r="N10" s="58">
        <v>4</v>
      </c>
      <c r="O10" s="58">
        <v>5.0999999999999996</v>
      </c>
      <c r="P10" s="58">
        <v>7.50916144864809</v>
      </c>
      <c r="Q10" s="57"/>
      <c r="R10" s="57"/>
      <c r="S10" s="57"/>
      <c r="T10" s="57"/>
    </row>
    <row r="11" spans="1:21" x14ac:dyDescent="0.25">
      <c r="A11" s="56" t="s">
        <v>191</v>
      </c>
      <c r="B11" s="57">
        <v>0.39925770008400402</v>
      </c>
      <c r="C11" s="57">
        <v>0.58104576422964105</v>
      </c>
      <c r="D11" s="57">
        <v>0.84722452071096799</v>
      </c>
      <c r="E11" s="57">
        <v>1.19</v>
      </c>
      <c r="F11" s="58">
        <v>1.5</v>
      </c>
      <c r="G11" s="58">
        <v>1.7</v>
      </c>
      <c r="H11" s="58">
        <v>1.9</v>
      </c>
      <c r="I11" s="58">
        <v>2.1000000000545298</v>
      </c>
      <c r="J11" s="58">
        <v>2.5</v>
      </c>
      <c r="K11" s="58">
        <v>2.9</v>
      </c>
      <c r="L11" s="58">
        <v>3.5</v>
      </c>
      <c r="M11" s="58">
        <v>5.8</v>
      </c>
      <c r="N11" s="58">
        <v>6.4</v>
      </c>
      <c r="O11" s="58">
        <v>7</v>
      </c>
      <c r="P11" s="58">
        <v>7.6</v>
      </c>
      <c r="Q11" s="58">
        <v>8.3431121790000002</v>
      </c>
      <c r="R11" s="58">
        <v>13.12828737816</v>
      </c>
      <c r="S11" s="58">
        <v>12.486495881635401</v>
      </c>
      <c r="T11" s="58">
        <v>13.1832070255034</v>
      </c>
    </row>
    <row r="12" spans="1:21" x14ac:dyDescent="0.25">
      <c r="A12" s="56" t="s">
        <v>192</v>
      </c>
      <c r="B12" s="58">
        <v>1.4634200595085101</v>
      </c>
      <c r="C12" s="58">
        <v>2.0079900793815901</v>
      </c>
      <c r="D12" s="57">
        <v>2.7597043737090301</v>
      </c>
      <c r="E12" s="57">
        <v>4.2875099027648096</v>
      </c>
      <c r="F12" s="58">
        <v>4.5</v>
      </c>
      <c r="G12" s="58">
        <v>5</v>
      </c>
      <c r="H12" s="57">
        <v>5.6</v>
      </c>
      <c r="I12" s="58">
        <v>6.10669502435836</v>
      </c>
      <c r="J12" s="58">
        <v>6.6</v>
      </c>
      <c r="K12" s="58">
        <v>7.11</v>
      </c>
      <c r="L12" s="58">
        <v>7.6159746620900002</v>
      </c>
      <c r="M12" s="58">
        <v>8.1219493234659996</v>
      </c>
      <c r="N12" s="58">
        <v>8.65</v>
      </c>
      <c r="O12" s="57"/>
      <c r="P12" s="57"/>
      <c r="Q12" s="58">
        <v>24.82063917</v>
      </c>
      <c r="R12" s="58">
        <v>33.346085793146202</v>
      </c>
      <c r="S12" s="58">
        <v>37.4938611176349</v>
      </c>
      <c r="T12" s="58">
        <v>38.379085141740703</v>
      </c>
    </row>
    <row r="13" spans="1:21" x14ac:dyDescent="0.25">
      <c r="A13" s="56" t="s">
        <v>193</v>
      </c>
      <c r="B13" s="57">
        <v>1.03923820514001</v>
      </c>
      <c r="C13" s="57">
        <v>1.5249007912252699</v>
      </c>
      <c r="D13" s="58">
        <v>1.8</v>
      </c>
      <c r="E13" s="58">
        <v>1.9</v>
      </c>
      <c r="F13" s="58">
        <v>2</v>
      </c>
      <c r="G13" s="58">
        <v>2.7</v>
      </c>
      <c r="H13" s="58">
        <v>2.9</v>
      </c>
      <c r="I13" s="58">
        <v>4.4000000000000004</v>
      </c>
      <c r="J13" s="58">
        <v>6.6</v>
      </c>
      <c r="K13" s="58">
        <v>10</v>
      </c>
      <c r="L13" s="57">
        <v>38.440000165461598</v>
      </c>
      <c r="M13" s="57">
        <v>41.207814930441401</v>
      </c>
      <c r="N13" s="57">
        <v>43.839920851487598</v>
      </c>
      <c r="O13" s="57">
        <v>37.546536130128104</v>
      </c>
      <c r="P13" s="57">
        <v>36.288954565520498</v>
      </c>
      <c r="Q13" s="58">
        <v>36.016638350000001</v>
      </c>
      <c r="R13" s="58">
        <v>35.9507335096635</v>
      </c>
      <c r="S13" s="57">
        <v>38.413281215105798</v>
      </c>
      <c r="T13" s="57">
        <v>40.6528497901827</v>
      </c>
    </row>
    <row r="14" spans="1:21" x14ac:dyDescent="0.25">
      <c r="A14" s="56" t="s">
        <v>249</v>
      </c>
      <c r="B14" s="58">
        <v>0.23803779869279201</v>
      </c>
      <c r="C14" s="58">
        <v>0.29605361030881</v>
      </c>
      <c r="D14" s="58">
        <v>0.37</v>
      </c>
      <c r="E14" s="58">
        <v>0.44</v>
      </c>
      <c r="F14" s="58">
        <v>0.56000000000000005</v>
      </c>
      <c r="G14" s="57">
        <v>0.72</v>
      </c>
      <c r="H14" s="58">
        <v>1.2</v>
      </c>
      <c r="I14" s="58">
        <v>1.6799610146449999</v>
      </c>
      <c r="J14" s="58">
        <v>2.2000000000000002</v>
      </c>
      <c r="K14" s="58">
        <v>3</v>
      </c>
      <c r="L14" s="58">
        <v>3.7999995072730002</v>
      </c>
      <c r="M14" s="57">
        <v>10.1</v>
      </c>
      <c r="N14" s="57"/>
      <c r="O14" s="58">
        <v>11.7</v>
      </c>
      <c r="P14" s="58">
        <v>16.4811891095164</v>
      </c>
      <c r="Q14" s="58">
        <v>21.642174824537801</v>
      </c>
      <c r="R14" s="58">
        <v>28.419292323113201</v>
      </c>
      <c r="S14" s="58">
        <v>29.499643275106799</v>
      </c>
      <c r="T14" s="58">
        <v>30.5480214038672</v>
      </c>
    </row>
    <row r="15" spans="1:21" x14ac:dyDescent="0.25">
      <c r="A15" s="56" t="s">
        <v>194</v>
      </c>
      <c r="B15" s="57">
        <v>1.1497896706181101</v>
      </c>
      <c r="C15" s="57">
        <v>1.2791935963568599</v>
      </c>
      <c r="D15" s="58">
        <v>1.55712305943539</v>
      </c>
      <c r="E15" s="58">
        <v>1.82</v>
      </c>
      <c r="F15" s="58">
        <v>2.13</v>
      </c>
      <c r="G15" s="57">
        <v>6</v>
      </c>
      <c r="H15" s="58">
        <v>11.5</v>
      </c>
      <c r="I15" s="58">
        <v>13.943182191307599</v>
      </c>
      <c r="J15" s="58">
        <v>16.399999999999999</v>
      </c>
      <c r="K15" s="58">
        <v>18.86</v>
      </c>
      <c r="L15" s="58">
        <v>21.319999899999999</v>
      </c>
      <c r="M15" s="58">
        <v>23.7799999</v>
      </c>
      <c r="N15" s="58">
        <v>26.239999000000001</v>
      </c>
      <c r="O15" s="57"/>
      <c r="P15" s="58">
        <v>49.1336630231973</v>
      </c>
      <c r="Q15" s="58">
        <v>55.001296570000001</v>
      </c>
      <c r="R15" s="58">
        <v>58.7172533823666</v>
      </c>
      <c r="S15" s="58">
        <v>59.343335688535298</v>
      </c>
      <c r="T15" s="58">
        <v>60.366147250570698</v>
      </c>
    </row>
    <row r="16" spans="1:21" x14ac:dyDescent="0.25">
      <c r="A16" s="56" t="s">
        <v>195</v>
      </c>
      <c r="B16" s="57"/>
      <c r="C16" s="57"/>
      <c r="D16" s="58">
        <v>0.41</v>
      </c>
      <c r="E16" s="58">
        <v>0.47</v>
      </c>
      <c r="F16" s="58">
        <v>0.54</v>
      </c>
      <c r="G16" s="58">
        <v>0.61</v>
      </c>
      <c r="H16" s="58">
        <v>0.7</v>
      </c>
      <c r="I16" s="58">
        <v>0.8</v>
      </c>
      <c r="J16" s="58">
        <v>0.9</v>
      </c>
      <c r="K16" s="58">
        <v>0.99</v>
      </c>
      <c r="L16" s="58">
        <v>1.0837331156750001</v>
      </c>
      <c r="M16" s="58">
        <v>1.1771187201569999</v>
      </c>
      <c r="N16" s="58">
        <v>2.5</v>
      </c>
      <c r="O16" s="58">
        <v>5.3</v>
      </c>
      <c r="P16" s="58">
        <v>11.2</v>
      </c>
      <c r="Q16" s="58">
        <v>14.349413853425499</v>
      </c>
      <c r="R16" s="58">
        <v>18.384435530078601</v>
      </c>
      <c r="S16" s="58">
        <v>18.709232912669801</v>
      </c>
      <c r="T16" s="58">
        <v>20.0104019404179</v>
      </c>
    </row>
    <row r="17" spans="1:20" x14ac:dyDescent="0.25">
      <c r="A17" s="56" t="s">
        <v>196</v>
      </c>
      <c r="B17" s="58">
        <v>3.6969610729182398</v>
      </c>
      <c r="C17" s="57">
        <v>3.6965387890688199</v>
      </c>
      <c r="D17" s="57">
        <v>4.0999999999999996</v>
      </c>
      <c r="E17" s="57">
        <v>6.85</v>
      </c>
      <c r="F17" s="57">
        <v>8.94</v>
      </c>
      <c r="G17" s="57">
        <v>11.04</v>
      </c>
      <c r="H17" s="57">
        <v>18.13</v>
      </c>
      <c r="I17" s="58">
        <v>20.7817825772944</v>
      </c>
      <c r="J17" s="58">
        <v>24.7</v>
      </c>
      <c r="K17" s="58">
        <v>25</v>
      </c>
      <c r="L17" s="58">
        <v>25.643042309999998</v>
      </c>
      <c r="M17" s="58">
        <v>28.57</v>
      </c>
      <c r="N17" s="58">
        <v>35.299999999999997</v>
      </c>
      <c r="O17" s="58">
        <v>39.4</v>
      </c>
      <c r="P17" s="58">
        <v>43.9</v>
      </c>
      <c r="Q17" s="58">
        <v>49.013039480000003</v>
      </c>
      <c r="R17" s="58">
        <v>53.995263203358398</v>
      </c>
      <c r="S17" s="58">
        <v>57.4649826050073</v>
      </c>
      <c r="T17" s="58">
        <v>57.620020148906796</v>
      </c>
    </row>
    <row r="18" spans="1:20" x14ac:dyDescent="0.25">
      <c r="A18" s="56" t="s">
        <v>197</v>
      </c>
      <c r="B18" s="57">
        <v>0.21965981899950501</v>
      </c>
      <c r="C18" s="57">
        <v>0.31059265685617599</v>
      </c>
      <c r="D18" s="57">
        <v>0.37</v>
      </c>
      <c r="E18" s="58">
        <v>0.45</v>
      </c>
      <c r="F18" s="58">
        <v>0.54</v>
      </c>
      <c r="G18" s="58">
        <v>0.75</v>
      </c>
      <c r="H18" s="58">
        <v>1.1000000000000001</v>
      </c>
      <c r="I18" s="58">
        <v>2.9</v>
      </c>
      <c r="J18" s="58">
        <v>4.5999999999999996</v>
      </c>
      <c r="K18" s="58">
        <v>7.7</v>
      </c>
      <c r="L18" s="57">
        <v>13.855175555555601</v>
      </c>
      <c r="M18" s="57">
        <v>15.366923859589599</v>
      </c>
      <c r="N18" s="58">
        <v>15.6</v>
      </c>
      <c r="O18" s="58">
        <v>15.9</v>
      </c>
      <c r="P18" s="58">
        <v>16</v>
      </c>
      <c r="Q18" s="58">
        <v>16.069642080000001</v>
      </c>
      <c r="R18" s="57">
        <v>16.698103097294801</v>
      </c>
      <c r="S18" s="57"/>
      <c r="T18" s="57"/>
    </row>
    <row r="19" spans="1:20" x14ac:dyDescent="0.25">
      <c r="A19" s="56" t="s">
        <v>198</v>
      </c>
      <c r="B19" s="57">
        <v>4.8932647497241204</v>
      </c>
      <c r="C19" s="57">
        <v>5.4892008028013501</v>
      </c>
      <c r="D19" s="58">
        <v>5.7670045756258297</v>
      </c>
      <c r="E19" s="58">
        <v>7.5</v>
      </c>
      <c r="F19" s="58">
        <v>9.5</v>
      </c>
      <c r="G19" s="58">
        <v>13</v>
      </c>
      <c r="H19" s="58">
        <v>18</v>
      </c>
      <c r="I19" s="58">
        <v>24</v>
      </c>
      <c r="J19" s="58">
        <v>30.53803344</v>
      </c>
      <c r="K19" s="58">
        <v>38.071209289999999</v>
      </c>
      <c r="L19" s="58">
        <v>45.784536529999997</v>
      </c>
      <c r="M19" s="58">
        <v>48.052273750618497</v>
      </c>
      <c r="N19" s="58">
        <v>51.604921078268802</v>
      </c>
      <c r="O19" s="58">
        <v>55.420226175250903</v>
      </c>
      <c r="P19" s="58">
        <v>59.517608110621701</v>
      </c>
      <c r="Q19" s="58">
        <v>63.917921662893903</v>
      </c>
      <c r="R19" s="58">
        <v>68.643563466299995</v>
      </c>
      <c r="S19" s="58">
        <v>70.706934345500002</v>
      </c>
      <c r="T19" s="58">
        <v>71.925603116399998</v>
      </c>
    </row>
    <row r="20" spans="1:20" x14ac:dyDescent="0.25">
      <c r="A20" s="56" t="s">
        <v>199</v>
      </c>
      <c r="B20" s="58">
        <v>3.7990011388223102</v>
      </c>
      <c r="C20" s="57">
        <v>5.2376911584121801</v>
      </c>
      <c r="D20" s="57">
        <v>6.2050374185241797</v>
      </c>
      <c r="E20" s="58">
        <v>6.88</v>
      </c>
      <c r="F20" s="58">
        <v>7.63</v>
      </c>
      <c r="G20" s="57">
        <v>9.1999999999999993</v>
      </c>
      <c r="H20" s="58">
        <v>10.8703</v>
      </c>
      <c r="I20" s="58">
        <v>12.4492287209242</v>
      </c>
      <c r="J20" s="58">
        <v>14</v>
      </c>
      <c r="K20" s="58">
        <v>15.56</v>
      </c>
      <c r="L20" s="58">
        <v>17.600000000000001</v>
      </c>
      <c r="M20" s="58">
        <v>19.899999999999999</v>
      </c>
      <c r="N20" s="58">
        <v>22.5</v>
      </c>
      <c r="O20" s="58">
        <v>28.3</v>
      </c>
      <c r="P20" s="58">
        <v>31.118254046519599</v>
      </c>
      <c r="Q20" s="58">
        <v>34.217163777517101</v>
      </c>
      <c r="R20" s="58">
        <v>37.624678274916803</v>
      </c>
      <c r="S20" s="58">
        <v>44.038933342148702</v>
      </c>
      <c r="T20" s="57">
        <v>45.913729071617098</v>
      </c>
    </row>
    <row r="21" spans="1:20" x14ac:dyDescent="0.25">
      <c r="A21" s="56" t="s">
        <v>200</v>
      </c>
      <c r="B21" s="57">
        <v>1.8311974610461601</v>
      </c>
      <c r="C21" s="57">
        <v>2.7231759731398699</v>
      </c>
      <c r="D21" s="57">
        <v>3.85</v>
      </c>
      <c r="E21" s="57">
        <v>4.2699999999999996</v>
      </c>
      <c r="F21" s="57">
        <v>5.44</v>
      </c>
      <c r="G21" s="57">
        <v>7.8</v>
      </c>
      <c r="H21" s="58">
        <v>9</v>
      </c>
      <c r="I21" s="57">
        <v>10.6</v>
      </c>
      <c r="J21" s="58">
        <v>15</v>
      </c>
      <c r="K21" s="58">
        <v>19</v>
      </c>
      <c r="L21" s="58">
        <v>23</v>
      </c>
      <c r="M21" s="58">
        <v>28</v>
      </c>
      <c r="N21" s="58">
        <v>37.884152616293598</v>
      </c>
      <c r="O21" s="58">
        <v>43</v>
      </c>
      <c r="P21" s="57">
        <v>22.0732</v>
      </c>
      <c r="Q21" s="58">
        <v>62.5176388</v>
      </c>
      <c r="R21" s="57">
        <v>68.599999999999994</v>
      </c>
      <c r="S21" s="58">
        <v>69.360720098824203</v>
      </c>
      <c r="T21" s="58">
        <v>69.9445167416781</v>
      </c>
    </row>
    <row r="22" spans="1:20" x14ac:dyDescent="0.25">
      <c r="A22" s="56" t="s">
        <v>201</v>
      </c>
      <c r="B22" s="57">
        <v>0.54225418099663703</v>
      </c>
      <c r="C22" s="57">
        <v>0.63749212298795499</v>
      </c>
      <c r="D22" s="57">
        <v>0.78002527905924401</v>
      </c>
      <c r="E22" s="57">
        <v>0.92</v>
      </c>
      <c r="F22" s="57">
        <v>0.94</v>
      </c>
      <c r="G22" s="58">
        <v>1</v>
      </c>
      <c r="H22" s="58">
        <v>2</v>
      </c>
      <c r="I22" s="58">
        <v>3.1</v>
      </c>
      <c r="J22" s="58">
        <v>4.5</v>
      </c>
      <c r="K22" s="58">
        <v>6.4</v>
      </c>
      <c r="L22" s="58">
        <v>9.1999999999999993</v>
      </c>
      <c r="M22" s="58">
        <v>13.1</v>
      </c>
      <c r="N22" s="58">
        <v>18.7</v>
      </c>
      <c r="O22" s="57">
        <v>21.8300230430563</v>
      </c>
      <c r="P22" s="58">
        <v>22.625470845560599</v>
      </c>
      <c r="Q22" s="58">
        <v>23.449903372691999</v>
      </c>
      <c r="R22" s="58">
        <v>24.304376777046802</v>
      </c>
      <c r="S22" s="58">
        <v>24.695444109233701</v>
      </c>
      <c r="T22" s="58">
        <v>26.501441950059402</v>
      </c>
    </row>
    <row r="23" spans="1:20" x14ac:dyDescent="0.25">
      <c r="A23" s="56" t="s">
        <v>202</v>
      </c>
      <c r="B23" s="57">
        <v>1.90136531610877</v>
      </c>
      <c r="C23" s="57">
        <v>2.0571967045036001</v>
      </c>
      <c r="D23" s="58">
        <v>2.2063022374500298</v>
      </c>
      <c r="E23" s="57">
        <v>2.3548887108793299</v>
      </c>
      <c r="F23" s="57">
        <v>2.3032805917258199</v>
      </c>
      <c r="G23" s="58">
        <v>2.4500000000000002</v>
      </c>
      <c r="H23" s="58">
        <v>2.6720000000000002</v>
      </c>
      <c r="I23" s="58">
        <v>2.8939906208553099</v>
      </c>
      <c r="J23" s="58">
        <v>3.1</v>
      </c>
      <c r="K23" s="58">
        <v>3.32</v>
      </c>
      <c r="L23" s="58">
        <v>6.1</v>
      </c>
      <c r="M23" s="58">
        <v>13.8</v>
      </c>
      <c r="N23" s="58">
        <v>14.8</v>
      </c>
      <c r="O23" s="58">
        <v>15.7</v>
      </c>
      <c r="P23" s="58">
        <v>17.921480060337199</v>
      </c>
      <c r="Q23" s="58">
        <v>20.457289653061299</v>
      </c>
      <c r="R23" s="58">
        <v>23.351905006744001</v>
      </c>
      <c r="S23" s="58">
        <v>27.567209034799902</v>
      </c>
      <c r="T23" s="58">
        <v>32.466118816419502</v>
      </c>
    </row>
    <row r="24" spans="1:20" x14ac:dyDescent="0.25">
      <c r="A24" s="56" t="s">
        <v>203</v>
      </c>
      <c r="B24" s="57">
        <v>3.1018977024849601</v>
      </c>
      <c r="C24" s="58">
        <v>3.6</v>
      </c>
      <c r="D24" s="58">
        <v>4.4000000000000004</v>
      </c>
      <c r="E24" s="58">
        <v>5.2</v>
      </c>
      <c r="F24" s="57">
        <v>6.1</v>
      </c>
      <c r="G24" s="57">
        <v>7.2</v>
      </c>
      <c r="H24" s="58">
        <v>8.8000000000000007</v>
      </c>
      <c r="I24" s="58">
        <v>10.5</v>
      </c>
      <c r="J24" s="58">
        <v>13</v>
      </c>
      <c r="K24" s="58">
        <v>16.5</v>
      </c>
      <c r="L24" s="57">
        <v>16.5878548475992</v>
      </c>
      <c r="M24" s="57">
        <v>16.600000000000001</v>
      </c>
      <c r="N24" s="58">
        <v>17.827100208864501</v>
      </c>
      <c r="O24" s="58">
        <v>19.5</v>
      </c>
      <c r="P24" s="57">
        <v>22.668773361817099</v>
      </c>
      <c r="Q24" s="57"/>
      <c r="R24" s="57"/>
      <c r="S24" s="57"/>
      <c r="T24" s="57">
        <v>35</v>
      </c>
    </row>
    <row r="25" spans="1:20" x14ac:dyDescent="0.25">
      <c r="A25" s="56" t="s">
        <v>204</v>
      </c>
      <c r="B25" s="58">
        <v>2.58024548419449</v>
      </c>
      <c r="C25" s="57">
        <v>2.9797081872448601</v>
      </c>
      <c r="D25" s="57">
        <v>3.4454312597087302</v>
      </c>
      <c r="E25" s="57">
        <v>3.58</v>
      </c>
      <c r="F25" s="57">
        <v>3.72</v>
      </c>
      <c r="G25" s="58">
        <v>3.86</v>
      </c>
      <c r="H25" s="58">
        <v>7</v>
      </c>
      <c r="I25" s="58">
        <v>10</v>
      </c>
      <c r="J25" s="58">
        <v>15</v>
      </c>
      <c r="K25" s="58">
        <v>22</v>
      </c>
      <c r="L25" s="58">
        <v>25</v>
      </c>
      <c r="M25" s="57">
        <v>32.453856947736497</v>
      </c>
      <c r="N25" s="58">
        <v>39</v>
      </c>
      <c r="O25" s="58">
        <v>40.799999999999997</v>
      </c>
      <c r="P25" s="57">
        <v>42.301733569272997</v>
      </c>
      <c r="Q25" s="58">
        <v>43.657475419481599</v>
      </c>
      <c r="R25" s="58">
        <v>45.056667875831401</v>
      </c>
      <c r="S25" s="58">
        <v>46.500703500758803</v>
      </c>
      <c r="T25" s="57">
        <v>47.991019487381003</v>
      </c>
    </row>
    <row r="26" spans="1:20" x14ac:dyDescent="0.25">
      <c r="A26" s="56" t="s">
        <v>205</v>
      </c>
      <c r="B26" s="57"/>
      <c r="C26" s="57"/>
      <c r="D26" s="58">
        <v>0.55137658055542904</v>
      </c>
      <c r="E26" s="58">
        <v>0.53</v>
      </c>
      <c r="F26" s="58">
        <v>2</v>
      </c>
      <c r="G26" s="57">
        <v>2.2999999999999998</v>
      </c>
      <c r="H26" s="58">
        <v>2.5</v>
      </c>
      <c r="I26" s="58">
        <v>2.6</v>
      </c>
      <c r="J26" s="58">
        <v>3.2</v>
      </c>
      <c r="K26" s="58">
        <v>5.41</v>
      </c>
      <c r="L26" s="58">
        <v>10</v>
      </c>
      <c r="M26" s="58">
        <v>15.7</v>
      </c>
      <c r="N26" s="58">
        <v>16.3</v>
      </c>
      <c r="O26" s="58">
        <v>17.2777235108707</v>
      </c>
      <c r="P26" s="58">
        <v>18.314093847735901</v>
      </c>
      <c r="Q26" s="58">
        <v>19.412628825357</v>
      </c>
      <c r="R26" s="58">
        <v>20.577057267710199</v>
      </c>
      <c r="S26" s="58">
        <v>21.896592381798399</v>
      </c>
      <c r="T26" s="58">
        <v>23.497907927615302</v>
      </c>
    </row>
    <row r="27" spans="1:20" x14ac:dyDescent="0.25">
      <c r="A27" s="56" t="s">
        <v>206</v>
      </c>
      <c r="B27" s="58">
        <v>0.56772180223740298</v>
      </c>
      <c r="C27" s="58">
        <v>0.60755223886037801</v>
      </c>
      <c r="D27" s="58">
        <v>0.65</v>
      </c>
      <c r="E27" s="58">
        <v>1.65</v>
      </c>
      <c r="F27" s="58">
        <v>1.63</v>
      </c>
      <c r="G27" s="58">
        <v>1.7</v>
      </c>
      <c r="H27" s="58">
        <v>1.9</v>
      </c>
      <c r="I27" s="58">
        <v>2.2999999999999998</v>
      </c>
      <c r="J27" s="58">
        <v>3</v>
      </c>
      <c r="K27" s="58">
        <v>3.7</v>
      </c>
      <c r="L27" s="58">
        <v>4.1739721900070004</v>
      </c>
      <c r="M27" s="58">
        <v>4.7136628994979999</v>
      </c>
      <c r="N27" s="58">
        <v>6.4</v>
      </c>
      <c r="O27" s="58">
        <v>7.74780033527274</v>
      </c>
      <c r="P27" s="58">
        <v>9.3794390680081907</v>
      </c>
      <c r="Q27" s="58">
        <v>11.3546908055913</v>
      </c>
      <c r="R27" s="58">
        <v>13.7459183172622</v>
      </c>
      <c r="S27" s="58">
        <v>18.553199911153399</v>
      </c>
      <c r="T27" s="58">
        <v>20.367078092515101</v>
      </c>
    </row>
    <row r="28" spans="1:20" x14ac:dyDescent="0.25">
      <c r="A28" s="56" t="s">
        <v>207</v>
      </c>
      <c r="B28" s="57">
        <v>0.38448933408278202</v>
      </c>
      <c r="C28" s="57">
        <v>0.425137489606563</v>
      </c>
      <c r="D28" s="57">
        <v>0.96586473655313199</v>
      </c>
      <c r="E28" s="57">
        <v>0.7</v>
      </c>
      <c r="F28" s="57">
        <v>1.07</v>
      </c>
      <c r="G28" s="57">
        <v>2.2599999999999998</v>
      </c>
      <c r="H28" s="57">
        <v>3.33</v>
      </c>
      <c r="I28" s="58">
        <v>4.3506</v>
      </c>
      <c r="J28" s="58">
        <v>5.05</v>
      </c>
      <c r="K28" s="58">
        <v>5.83</v>
      </c>
      <c r="L28" s="58">
        <v>6</v>
      </c>
      <c r="M28" s="58">
        <v>6.3</v>
      </c>
      <c r="N28" s="58">
        <v>7</v>
      </c>
      <c r="O28" s="58">
        <v>8.7982934516366704</v>
      </c>
      <c r="P28" s="58">
        <v>11.058566808730401</v>
      </c>
      <c r="Q28" s="58">
        <v>13.8995022768199</v>
      </c>
      <c r="R28" s="58">
        <v>17.470271409021901</v>
      </c>
      <c r="S28" s="58">
        <v>17.045667563809399</v>
      </c>
      <c r="T28" s="57">
        <v>17.9881034561535</v>
      </c>
    </row>
    <row r="29" spans="1:20" x14ac:dyDescent="0.25">
      <c r="A29" s="56" t="s">
        <v>208</v>
      </c>
      <c r="B29" s="57">
        <v>0.50706313595224695</v>
      </c>
      <c r="C29" s="57">
        <v>0.72962728083310102</v>
      </c>
      <c r="D29" s="57">
        <v>0.81</v>
      </c>
      <c r="E29" s="57">
        <v>1.57</v>
      </c>
      <c r="F29" s="58">
        <v>1.8</v>
      </c>
      <c r="G29" s="58">
        <v>2</v>
      </c>
      <c r="H29" s="57">
        <v>2.2000000000000002</v>
      </c>
      <c r="I29" s="58">
        <v>2.8</v>
      </c>
      <c r="J29" s="58">
        <v>3.5</v>
      </c>
      <c r="K29" s="58">
        <v>7</v>
      </c>
      <c r="L29" s="58">
        <v>10.33</v>
      </c>
      <c r="M29" s="58">
        <v>14</v>
      </c>
      <c r="N29" s="58">
        <v>18.899999999999999</v>
      </c>
      <c r="O29" s="58">
        <v>21.4</v>
      </c>
      <c r="P29" s="58">
        <v>24.960324062988299</v>
      </c>
      <c r="Q29" s="58">
        <v>29.112980249037001</v>
      </c>
      <c r="R29" s="58">
        <v>33.956515021277603</v>
      </c>
      <c r="S29" s="58">
        <v>34.379737088899198</v>
      </c>
      <c r="T29" s="58">
        <v>35.092072074413302</v>
      </c>
    </row>
    <row r="30" spans="1:20" x14ac:dyDescent="0.25">
      <c r="A30" s="56" t="s">
        <v>209</v>
      </c>
      <c r="B30" s="58">
        <v>15.172228752491399</v>
      </c>
      <c r="C30" s="57">
        <v>16.7</v>
      </c>
      <c r="D30" s="57">
        <v>20.22</v>
      </c>
      <c r="E30" s="57">
        <v>21.81</v>
      </c>
      <c r="F30" s="57">
        <v>22.51</v>
      </c>
      <c r="G30" s="57">
        <v>28.33</v>
      </c>
      <c r="H30" s="58">
        <v>34.950000000000003</v>
      </c>
      <c r="I30" s="57">
        <v>35.42</v>
      </c>
      <c r="J30" s="57">
        <v>40.116825134999999</v>
      </c>
      <c r="K30" s="57">
        <v>44.8032753683379</v>
      </c>
      <c r="L30" s="57">
        <v>50.1393184766711</v>
      </c>
      <c r="M30" s="58">
        <v>52.191325939999999</v>
      </c>
      <c r="N30" s="57">
        <v>55.403240300265701</v>
      </c>
      <c r="O30" s="57">
        <v>58.596169704299001</v>
      </c>
      <c r="P30" s="57">
        <v>61.7299551453346</v>
      </c>
      <c r="Q30" s="57">
        <v>67.732906837265105</v>
      </c>
      <c r="R30" s="57">
        <v>71.599999999999994</v>
      </c>
      <c r="S30" s="57">
        <v>75.5</v>
      </c>
      <c r="T30" s="57">
        <v>79.5</v>
      </c>
    </row>
    <row r="31" spans="1:20" x14ac:dyDescent="0.25">
      <c r="A31" s="56" t="s">
        <v>210</v>
      </c>
      <c r="B31" s="58">
        <v>0.85435711810752801</v>
      </c>
      <c r="C31" s="57">
        <v>0.84295448804423601</v>
      </c>
      <c r="D31" s="57">
        <v>0.91</v>
      </c>
      <c r="E31" s="57">
        <v>1.56</v>
      </c>
      <c r="F31" s="57">
        <v>2.68</v>
      </c>
      <c r="G31" s="57">
        <v>4.17</v>
      </c>
      <c r="H31" s="58">
        <v>4.5999999999999996</v>
      </c>
      <c r="I31" s="58">
        <v>5</v>
      </c>
      <c r="J31" s="58">
        <v>5.5</v>
      </c>
      <c r="K31" s="58">
        <v>6</v>
      </c>
      <c r="L31" s="58">
        <v>6.5</v>
      </c>
      <c r="M31" s="58">
        <v>7</v>
      </c>
      <c r="N31" s="57">
        <v>7.7963266079129001</v>
      </c>
      <c r="O31" s="58">
        <v>10.9</v>
      </c>
      <c r="P31" s="58">
        <v>12.4793094201379</v>
      </c>
      <c r="Q31" s="58">
        <v>14.287446202159799</v>
      </c>
      <c r="R31" s="58">
        <v>16.357565319295901</v>
      </c>
      <c r="S31" s="58">
        <v>18.791300420205001</v>
      </c>
      <c r="T31" s="58">
        <v>19.8433650644516</v>
      </c>
    </row>
    <row r="32" spans="1:20" x14ac:dyDescent="0.25">
      <c r="A32" s="56" t="s">
        <v>211</v>
      </c>
      <c r="B32" s="58">
        <v>4.0100466444237499</v>
      </c>
      <c r="C32" s="57">
        <v>4.3988706473272599</v>
      </c>
      <c r="D32" s="57">
        <v>4.8356107783370401</v>
      </c>
      <c r="E32" s="57">
        <v>5.32900377208954</v>
      </c>
      <c r="F32" s="58">
        <v>6.5</v>
      </c>
      <c r="G32" s="57">
        <v>11.6</v>
      </c>
      <c r="H32" s="58">
        <v>12</v>
      </c>
      <c r="I32" s="58">
        <v>12.9414</v>
      </c>
      <c r="J32" s="58">
        <v>13.9</v>
      </c>
      <c r="K32" s="58">
        <v>14.84</v>
      </c>
      <c r="L32" s="58">
        <v>25.687851819999999</v>
      </c>
      <c r="M32" s="58">
        <v>31.033345938345398</v>
      </c>
      <c r="N32" s="58">
        <v>36.837406474325597</v>
      </c>
      <c r="O32" s="58">
        <v>42.8</v>
      </c>
      <c r="P32" s="58">
        <v>49.8</v>
      </c>
      <c r="Q32" s="58">
        <v>57.860795090000003</v>
      </c>
      <c r="R32" s="58">
        <v>60.260036097467399</v>
      </c>
      <c r="S32" s="58">
        <v>61.148531239500997</v>
      </c>
      <c r="T32" s="58">
        <v>64.406147611400002</v>
      </c>
    </row>
    <row r="33" spans="1:20" x14ac:dyDescent="0.25">
      <c r="A33" s="56" t="s">
        <v>212</v>
      </c>
      <c r="B33" s="58">
        <v>0.221341351487395</v>
      </c>
      <c r="C33" s="58">
        <v>0.29403397709622298</v>
      </c>
      <c r="D33" s="58">
        <v>0.390390619762082</v>
      </c>
      <c r="E33" s="57">
        <v>0.7</v>
      </c>
      <c r="F33" s="57">
        <v>0.76</v>
      </c>
      <c r="G33" s="58">
        <v>0.83</v>
      </c>
      <c r="H33" s="57">
        <v>0.9</v>
      </c>
      <c r="I33" s="58">
        <v>1.05</v>
      </c>
      <c r="J33" s="58">
        <v>1.1499999999999999</v>
      </c>
      <c r="K33" s="57">
        <v>1.24867568902241</v>
      </c>
      <c r="L33" s="58">
        <v>2.4762199749999998</v>
      </c>
      <c r="M33" s="58">
        <v>4.3227580302806796</v>
      </c>
      <c r="N33" s="57">
        <v>10.224311558656099</v>
      </c>
      <c r="O33" s="57"/>
      <c r="P33" s="58">
        <v>16.611902175719599</v>
      </c>
      <c r="Q33" s="58">
        <v>17.0374849407618</v>
      </c>
      <c r="R33" s="58">
        <v>17.473970773254401</v>
      </c>
      <c r="S33" s="58">
        <v>23.298200804137</v>
      </c>
      <c r="T33" s="58">
        <v>23.187851800737</v>
      </c>
    </row>
    <row r="34" spans="1:20" x14ac:dyDescent="0.25">
      <c r="A34" s="56" t="s">
        <v>213</v>
      </c>
      <c r="B34" s="57">
        <v>3.5491557179649198</v>
      </c>
      <c r="C34" s="57">
        <v>5.5450360830053604</v>
      </c>
      <c r="D34" s="58">
        <v>6.77</v>
      </c>
      <c r="E34" s="58">
        <v>8</v>
      </c>
      <c r="F34" s="58">
        <v>9.3000000000000007</v>
      </c>
      <c r="G34" s="58">
        <v>11.5</v>
      </c>
      <c r="H34" s="58">
        <v>13.8</v>
      </c>
      <c r="I34" s="58">
        <v>16.100000000000001</v>
      </c>
      <c r="J34" s="58">
        <v>19.100000000000001</v>
      </c>
      <c r="K34" s="58">
        <v>21</v>
      </c>
      <c r="L34" s="58">
        <v>22.5</v>
      </c>
      <c r="M34" s="58">
        <v>24.1</v>
      </c>
      <c r="N34" s="58">
        <v>25.9</v>
      </c>
      <c r="O34" s="58">
        <v>27.7</v>
      </c>
      <c r="P34" s="58">
        <v>29.7</v>
      </c>
      <c r="Q34" s="58">
        <v>31.888765729999999</v>
      </c>
      <c r="R34" s="58">
        <v>35.509831256600002</v>
      </c>
      <c r="S34" s="58">
        <v>37.697474100100003</v>
      </c>
      <c r="T34" s="58">
        <v>39.213555393299998</v>
      </c>
    </row>
    <row r="35" spans="1:20" x14ac:dyDescent="0.25">
      <c r="A35" s="56" t="s">
        <v>214</v>
      </c>
      <c r="B35" s="58">
        <v>0.55604116483951505</v>
      </c>
      <c r="C35" s="57"/>
      <c r="D35" s="58">
        <v>2.11538717825754</v>
      </c>
      <c r="E35" s="57">
        <v>4.5</v>
      </c>
      <c r="F35" s="57">
        <v>7.7</v>
      </c>
      <c r="G35" s="57">
        <v>8</v>
      </c>
      <c r="H35" s="57">
        <v>7</v>
      </c>
      <c r="I35" s="58">
        <v>8.0238542769476506</v>
      </c>
      <c r="J35" s="58">
        <v>9</v>
      </c>
      <c r="K35" s="58">
        <v>10.6</v>
      </c>
      <c r="L35" s="58">
        <v>12.5</v>
      </c>
      <c r="M35" s="58">
        <v>14.6</v>
      </c>
      <c r="N35" s="57">
        <v>17.2</v>
      </c>
      <c r="O35" s="58">
        <v>19.2</v>
      </c>
      <c r="P35" s="58">
        <v>21.358010073333698</v>
      </c>
      <c r="Q35" s="57">
        <v>23.8</v>
      </c>
      <c r="R35" s="58">
        <v>24.4415730311276</v>
      </c>
      <c r="S35" s="58">
        <v>31.2252187508746</v>
      </c>
      <c r="T35" s="58">
        <v>34.2004729776163</v>
      </c>
    </row>
    <row r="36" spans="1:20" x14ac:dyDescent="0.25">
      <c r="A36" s="56" t="s">
        <v>215</v>
      </c>
      <c r="B36" s="58">
        <v>13.759484215905999</v>
      </c>
      <c r="C36" s="58">
        <v>14.182019777471201</v>
      </c>
      <c r="D36" s="57">
        <v>14.590483198741399</v>
      </c>
      <c r="E36" s="58">
        <v>15.48</v>
      </c>
      <c r="F36" s="58">
        <v>16.41</v>
      </c>
      <c r="G36" s="57">
        <v>18.75</v>
      </c>
      <c r="H36" s="58">
        <v>20.161200000000001</v>
      </c>
      <c r="I36" s="58">
        <v>21.572399999999998</v>
      </c>
      <c r="J36" s="58">
        <v>23</v>
      </c>
      <c r="K36" s="58">
        <v>24.41</v>
      </c>
      <c r="L36" s="58">
        <v>25.82</v>
      </c>
      <c r="M36" s="58">
        <v>28</v>
      </c>
      <c r="N36" s="58">
        <v>32.6</v>
      </c>
      <c r="O36" s="58">
        <v>38</v>
      </c>
      <c r="P36" s="58">
        <v>44.3</v>
      </c>
      <c r="Q36" s="58">
        <v>51.554706779999997</v>
      </c>
      <c r="R36" s="58">
        <v>61.524093356292703</v>
      </c>
      <c r="S36" s="58">
        <v>61.5534583904047</v>
      </c>
      <c r="T36" s="58">
        <v>61.460749988479598</v>
      </c>
    </row>
    <row r="37" spans="1:20" x14ac:dyDescent="0.25">
      <c r="A37" s="56" t="s">
        <v>216</v>
      </c>
      <c r="B37" s="57">
        <v>4.7866840831053503</v>
      </c>
      <c r="C37" s="57">
        <v>5.6117386521795201</v>
      </c>
      <c r="D37" s="58">
        <v>6.89</v>
      </c>
      <c r="E37" s="58">
        <v>7.12</v>
      </c>
      <c r="F37" s="58">
        <v>7.5</v>
      </c>
      <c r="G37" s="58">
        <v>8</v>
      </c>
      <c r="H37" s="58">
        <v>9.8000000000000007</v>
      </c>
      <c r="I37" s="58">
        <v>10.8</v>
      </c>
      <c r="J37" s="58">
        <v>13.1</v>
      </c>
      <c r="K37" s="58">
        <v>17.7</v>
      </c>
      <c r="L37" s="58">
        <v>21.7</v>
      </c>
      <c r="M37" s="58">
        <v>25.664768041395298</v>
      </c>
      <c r="N37" s="58">
        <v>29.643123669415601</v>
      </c>
      <c r="O37" s="58">
        <v>35.299999999999997</v>
      </c>
      <c r="P37" s="58">
        <v>43.4</v>
      </c>
      <c r="Q37" s="58">
        <v>53.30880406</v>
      </c>
      <c r="R37" s="58">
        <v>57.255373361409397</v>
      </c>
      <c r="S37" s="58">
        <v>59.224565854693701</v>
      </c>
      <c r="T37" s="58">
        <v>60.612231104924</v>
      </c>
    </row>
    <row r="38" spans="1:20" x14ac:dyDescent="0.25">
      <c r="A38" s="56" t="s">
        <v>217</v>
      </c>
      <c r="B38" s="57">
        <v>25.413268146283599</v>
      </c>
      <c r="C38" s="57">
        <v>34.951971170649998</v>
      </c>
      <c r="D38" s="57">
        <v>38.380000000000003</v>
      </c>
      <c r="E38" s="57">
        <v>40.44</v>
      </c>
      <c r="F38" s="57"/>
      <c r="G38" s="58">
        <v>41</v>
      </c>
      <c r="H38" s="58">
        <v>43.164004460000001</v>
      </c>
      <c r="I38" s="58">
        <v>47.076000000000001</v>
      </c>
      <c r="J38" s="58">
        <v>50.4</v>
      </c>
      <c r="K38" s="58">
        <v>51.254701990000001</v>
      </c>
      <c r="L38" s="58">
        <v>54.259617859999999</v>
      </c>
      <c r="M38" s="58">
        <v>56.5147081470678</v>
      </c>
      <c r="N38" s="58">
        <v>62.6</v>
      </c>
      <c r="O38" s="58">
        <v>69.2</v>
      </c>
      <c r="P38" s="58">
        <v>76.599999999999994</v>
      </c>
      <c r="Q38" s="58">
        <v>84.822262010000003</v>
      </c>
      <c r="R38" s="58">
        <v>87.3383035166935</v>
      </c>
      <c r="S38" s="58">
        <v>87.035255305142201</v>
      </c>
      <c r="T38" s="58">
        <v>87.400851451202698</v>
      </c>
    </row>
    <row r="39" spans="1:20" x14ac:dyDescent="0.25">
      <c r="A39" s="56" t="s">
        <v>218</v>
      </c>
      <c r="B39" s="57">
        <v>0.21539161034012899</v>
      </c>
      <c r="C39" s="57">
        <v>0.227669467190838</v>
      </c>
      <c r="D39" s="58">
        <v>0.23983469854623299</v>
      </c>
      <c r="E39" s="58">
        <v>0.25</v>
      </c>
      <c r="F39" s="58">
        <v>0.26</v>
      </c>
      <c r="G39" s="58">
        <v>0.57999999999999996</v>
      </c>
      <c r="H39" s="58">
        <v>0.9</v>
      </c>
      <c r="I39" s="58">
        <v>2.5</v>
      </c>
      <c r="J39" s="58">
        <v>4</v>
      </c>
      <c r="K39" s="58">
        <v>6.057298984</v>
      </c>
      <c r="L39" s="58">
        <v>6.3444216029999998</v>
      </c>
      <c r="M39" s="58">
        <v>11.77318438</v>
      </c>
      <c r="N39" s="58">
        <v>13.236930432839401</v>
      </c>
      <c r="O39" s="58">
        <v>14.422251698970699</v>
      </c>
      <c r="P39" s="58">
        <v>15.713714378405699</v>
      </c>
      <c r="Q39" s="58">
        <v>17.120823067020499</v>
      </c>
      <c r="R39" s="58">
        <v>18.653933464327199</v>
      </c>
      <c r="S39" s="58">
        <v>19.228748814697401</v>
      </c>
      <c r="T39" s="58">
        <v>20.6349627984394</v>
      </c>
    </row>
    <row r="40" spans="1:20" x14ac:dyDescent="0.25">
      <c r="A40" s="56" t="s">
        <v>219</v>
      </c>
      <c r="B40" s="57">
        <v>7.4885425299292097</v>
      </c>
      <c r="C40" s="57">
        <v>7.6071396747738103</v>
      </c>
      <c r="D40" s="57">
        <v>8.0653751735550401</v>
      </c>
      <c r="E40" s="57">
        <v>8.43</v>
      </c>
      <c r="F40" s="58">
        <v>10</v>
      </c>
      <c r="G40" s="58">
        <v>24</v>
      </c>
      <c r="H40" s="57">
        <v>33.97</v>
      </c>
      <c r="I40" s="58">
        <v>41</v>
      </c>
      <c r="J40" s="58">
        <v>46.5</v>
      </c>
      <c r="K40" s="58">
        <v>49</v>
      </c>
      <c r="L40" s="58">
        <v>51.919115722747001</v>
      </c>
      <c r="M40" s="58">
        <v>54</v>
      </c>
      <c r="N40" s="58">
        <v>56.167394467338298</v>
      </c>
      <c r="O40" s="58">
        <v>62.4</v>
      </c>
      <c r="P40" s="58">
        <v>69.696875076026799</v>
      </c>
      <c r="Q40" s="58">
        <v>72.112805679999994</v>
      </c>
      <c r="R40" s="58">
        <v>74.968582604700003</v>
      </c>
      <c r="S40" s="58">
        <v>75.455604433000005</v>
      </c>
      <c r="T40" s="58">
        <v>75.659179741900005</v>
      </c>
    </row>
    <row r="41" spans="1:20" x14ac:dyDescent="0.25">
      <c r="A41" s="56" t="s">
        <v>220</v>
      </c>
      <c r="B41" s="57"/>
      <c r="C41" s="57"/>
      <c r="D41" s="57"/>
      <c r="E41" s="57"/>
      <c r="F41" s="57"/>
      <c r="G41" s="57"/>
      <c r="H41" s="57"/>
      <c r="I41" s="57"/>
      <c r="J41" s="58">
        <v>2.2000000000000002</v>
      </c>
      <c r="K41" s="58">
        <v>2.6</v>
      </c>
      <c r="L41" s="58">
        <v>3</v>
      </c>
      <c r="M41" s="58">
        <v>3.5</v>
      </c>
      <c r="N41" s="57">
        <v>4.0999999999999996</v>
      </c>
      <c r="O41" s="58">
        <v>4.8</v>
      </c>
      <c r="P41" s="58">
        <v>6.7</v>
      </c>
      <c r="Q41" s="58">
        <v>9.2712279629999994</v>
      </c>
      <c r="R41" s="57"/>
      <c r="S41" s="57"/>
      <c r="T41" s="57"/>
    </row>
    <row r="42" spans="1:20" x14ac:dyDescent="0.25">
      <c r="A42" s="56" t="s">
        <v>221</v>
      </c>
      <c r="B42" s="58">
        <v>1.1000000000000001</v>
      </c>
      <c r="C42" s="58">
        <v>1.3</v>
      </c>
      <c r="D42" s="57">
        <v>1.6</v>
      </c>
      <c r="E42" s="58">
        <v>1.9</v>
      </c>
      <c r="F42" s="58">
        <v>2.4</v>
      </c>
      <c r="G42" s="58">
        <v>2.9</v>
      </c>
      <c r="H42" s="58">
        <v>3.2</v>
      </c>
      <c r="I42" s="58">
        <v>3.95</v>
      </c>
      <c r="J42" s="58">
        <v>4.4000000000000004</v>
      </c>
      <c r="K42" s="58">
        <v>7</v>
      </c>
      <c r="L42" s="58">
        <v>10</v>
      </c>
      <c r="M42" s="57">
        <v>13.504232846891901</v>
      </c>
      <c r="N42" s="58">
        <v>14.4633970036894</v>
      </c>
      <c r="O42" s="58">
        <v>15.4906876427622</v>
      </c>
      <c r="P42" s="58">
        <v>16.590943578774301</v>
      </c>
      <c r="Q42" s="58">
        <v>17.769347312524499</v>
      </c>
      <c r="R42" s="58">
        <v>19.0314494419159</v>
      </c>
      <c r="S42" s="58">
        <v>22.100986484869399</v>
      </c>
      <c r="T42" s="58">
        <v>29.063822824213499</v>
      </c>
    </row>
    <row r="43" spans="1:20" x14ac:dyDescent="0.25">
      <c r="A43" s="56" t="s">
        <v>222</v>
      </c>
      <c r="B43" s="58">
        <v>1.8</v>
      </c>
      <c r="C43" s="58">
        <v>2</v>
      </c>
      <c r="D43" s="58">
        <v>2.2000000000000002</v>
      </c>
      <c r="E43" s="58">
        <v>2.4</v>
      </c>
      <c r="F43" s="58">
        <v>2.6</v>
      </c>
      <c r="G43" s="58">
        <v>3</v>
      </c>
      <c r="H43" s="58">
        <v>3.5</v>
      </c>
      <c r="I43" s="58">
        <v>4</v>
      </c>
      <c r="J43" s="58">
        <v>4.5</v>
      </c>
      <c r="K43" s="58">
        <v>5.7</v>
      </c>
      <c r="L43" s="58">
        <v>7.12</v>
      </c>
      <c r="M43" s="58">
        <v>11.31</v>
      </c>
      <c r="N43" s="57">
        <v>12.360224969290501</v>
      </c>
      <c r="O43" s="58">
        <v>15.5</v>
      </c>
      <c r="P43" s="58">
        <v>20.727327163366802</v>
      </c>
      <c r="Q43" s="58">
        <v>29.023702579999998</v>
      </c>
      <c r="R43" s="58">
        <v>30.338425485413001</v>
      </c>
      <c r="S43" s="58">
        <v>35.510520193565704</v>
      </c>
      <c r="T43" s="58">
        <v>37.022250077958297</v>
      </c>
    </row>
    <row r="44" spans="1:20" x14ac:dyDescent="0.25">
      <c r="A44" s="56" t="s">
        <v>223</v>
      </c>
      <c r="B44" s="57">
        <v>1.7422055032439001</v>
      </c>
      <c r="C44" s="57">
        <v>2.5293630382627899</v>
      </c>
      <c r="D44" s="57">
        <v>3.6719653507474401</v>
      </c>
      <c r="E44" s="58">
        <v>3.88</v>
      </c>
      <c r="F44" s="58">
        <v>4.0999999999999996</v>
      </c>
      <c r="G44" s="58">
        <v>4.3</v>
      </c>
      <c r="H44" s="58">
        <v>4.5999999999999996</v>
      </c>
      <c r="I44" s="58">
        <v>4.8</v>
      </c>
      <c r="J44" s="58">
        <v>5.0999999999999996</v>
      </c>
      <c r="K44" s="58">
        <v>5.4</v>
      </c>
      <c r="L44" s="58">
        <v>5.8</v>
      </c>
      <c r="M44" s="57">
        <v>5.9</v>
      </c>
      <c r="N44" s="57"/>
      <c r="O44" s="57"/>
      <c r="P44" s="57"/>
      <c r="Q44" s="57">
        <v>7.4</v>
      </c>
      <c r="R44" s="57">
        <v>10</v>
      </c>
      <c r="S44" s="58">
        <v>11.124623891474799</v>
      </c>
      <c r="T44" s="58">
        <v>15.2523819389066</v>
      </c>
    </row>
    <row r="45" spans="1:20" x14ac:dyDescent="0.25">
      <c r="A45" s="56" t="s">
        <v>224</v>
      </c>
      <c r="B45" s="58">
        <v>1.3</v>
      </c>
      <c r="C45" s="58">
        <v>1.6</v>
      </c>
      <c r="D45" s="58">
        <v>1.9</v>
      </c>
      <c r="E45" s="58">
        <v>2.2000000000000002</v>
      </c>
      <c r="F45" s="58">
        <v>2.5</v>
      </c>
      <c r="G45" s="58">
        <v>3</v>
      </c>
      <c r="H45" s="58">
        <v>3.5</v>
      </c>
      <c r="I45" s="58">
        <v>4.0999999999999996</v>
      </c>
      <c r="J45" s="57">
        <v>4.8</v>
      </c>
      <c r="K45" s="58">
        <v>6.5</v>
      </c>
      <c r="L45" s="57">
        <v>8.8000000000000007</v>
      </c>
      <c r="M45" s="58">
        <v>10.3</v>
      </c>
      <c r="N45" s="58">
        <v>12.2</v>
      </c>
      <c r="O45" s="57">
        <v>14.299997095001199</v>
      </c>
      <c r="P45" s="58">
        <v>18.7</v>
      </c>
      <c r="Q45" s="58">
        <v>24.499167700000001</v>
      </c>
      <c r="R45" s="58">
        <v>32.5433629324016</v>
      </c>
      <c r="S45" s="58">
        <v>31.985942935895299</v>
      </c>
      <c r="T45" s="58">
        <v>33.042450492919599</v>
      </c>
    </row>
    <row r="46" spans="1:20" x14ac:dyDescent="0.25">
      <c r="A46" s="56" t="s">
        <v>225</v>
      </c>
      <c r="B46" s="58">
        <v>2.4</v>
      </c>
      <c r="C46" s="58">
        <v>2.4</v>
      </c>
      <c r="D46" s="58">
        <v>3</v>
      </c>
      <c r="E46" s="58">
        <v>3.5</v>
      </c>
      <c r="F46" s="58">
        <v>4</v>
      </c>
      <c r="G46" s="58">
        <v>6.4</v>
      </c>
      <c r="H46" s="58">
        <v>8.4</v>
      </c>
      <c r="I46" s="58">
        <v>12</v>
      </c>
      <c r="J46" s="58">
        <v>15.5</v>
      </c>
      <c r="K46" s="57">
        <v>16.3647399572904</v>
      </c>
      <c r="L46" s="58">
        <v>22.7428181020497</v>
      </c>
      <c r="M46" s="58">
        <v>23.11998904</v>
      </c>
      <c r="N46" s="58">
        <v>24.4</v>
      </c>
      <c r="O46" s="58">
        <v>25</v>
      </c>
      <c r="P46" s="58">
        <v>26.588274073439699</v>
      </c>
      <c r="Q46" s="57">
        <v>29.2985653194206</v>
      </c>
      <c r="R46" s="58">
        <v>37.096660674081498</v>
      </c>
      <c r="S46" s="58">
        <v>37.886066857935297</v>
      </c>
      <c r="T46" s="58">
        <v>38.426558744364101</v>
      </c>
    </row>
    <row r="48" spans="1:20" x14ac:dyDescent="0.25">
      <c r="A48" s="2" t="s">
        <v>136</v>
      </c>
    </row>
    <row r="49" spans="1:1" x14ac:dyDescent="0.25">
      <c r="A49" t="s">
        <v>23</v>
      </c>
    </row>
  </sheetData>
  <conditionalFormatting sqref="A3:T46">
    <cfRule type="containsText" dxfId="22" priority="1" stopIfTrue="1" operator="containsText" text="ITU estim">
      <formula>NOT(ISERROR(SEARCH("ITU estim",A3)))</formula>
    </cfRule>
    <cfRule type="containsText" dxfId="21" priority="2" stopIfTrue="1" operator="containsText" text="not publ">
      <formula>NOT(ISERROR(SEARCH("not publ",A3)))</formula>
    </cfRule>
  </conditionalFormatting>
  <hyperlinks>
    <hyperlink ref="U1" location="Contents!A1" display="Return to Contents" xr:uid="{E92B8EF8-1438-4CDB-9606-50D50A811525}"/>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4121-15B0-462D-94FF-053E9D8E8026}">
  <sheetPr codeName="Sheet4"/>
  <dimension ref="A1:S95"/>
  <sheetViews>
    <sheetView workbookViewId="0"/>
  </sheetViews>
  <sheetFormatPr defaultRowHeight="15" x14ac:dyDescent="0.25"/>
  <cols>
    <col min="1" max="1" width="28.28515625" customWidth="1"/>
  </cols>
  <sheetData>
    <row r="1" spans="1:19" x14ac:dyDescent="0.25">
      <c r="A1" s="1" t="s">
        <v>27</v>
      </c>
      <c r="S1" s="34" t="s">
        <v>17</v>
      </c>
    </row>
    <row r="2" spans="1:19" x14ac:dyDescent="0.25">
      <c r="A2" s="6"/>
      <c r="B2" s="6">
        <v>2007</v>
      </c>
      <c r="C2" s="6">
        <v>2008</v>
      </c>
      <c r="D2" s="6">
        <v>2009</v>
      </c>
      <c r="E2" s="6">
        <v>2010</v>
      </c>
      <c r="F2" s="6">
        <v>2011</v>
      </c>
      <c r="G2" s="6">
        <v>2012</v>
      </c>
      <c r="H2" s="6">
        <v>2013</v>
      </c>
      <c r="I2" s="6">
        <v>2014</v>
      </c>
      <c r="J2" s="6">
        <v>2015</v>
      </c>
      <c r="K2" s="6">
        <v>2016</v>
      </c>
      <c r="L2" s="6">
        <v>2017</v>
      </c>
      <c r="M2" s="6">
        <v>2018</v>
      </c>
      <c r="N2" s="6">
        <v>2019</v>
      </c>
      <c r="O2" s="6">
        <v>2020</v>
      </c>
      <c r="P2" s="6">
        <v>2021</v>
      </c>
      <c r="Q2" s="6">
        <v>2022</v>
      </c>
      <c r="R2" s="6">
        <v>2023</v>
      </c>
    </row>
    <row r="3" spans="1:19" x14ac:dyDescent="0.25">
      <c r="A3" s="9" t="s">
        <v>167</v>
      </c>
      <c r="B3" s="8"/>
      <c r="C3" s="8"/>
      <c r="D3" s="8"/>
      <c r="E3" s="8"/>
      <c r="F3" s="8"/>
      <c r="G3" s="8"/>
      <c r="H3" s="8"/>
      <c r="I3" s="8"/>
      <c r="J3" s="8"/>
      <c r="K3" s="8"/>
      <c r="L3" s="8"/>
      <c r="M3" s="8"/>
      <c r="N3" s="8"/>
      <c r="O3" s="8"/>
      <c r="P3" s="8"/>
      <c r="Q3" s="8"/>
      <c r="R3" s="8"/>
    </row>
    <row r="4" spans="1:19" x14ac:dyDescent="0.25">
      <c r="A4" s="7" t="s">
        <v>183</v>
      </c>
      <c r="B4" s="3"/>
      <c r="C4" s="3"/>
      <c r="D4" s="3"/>
      <c r="E4" s="3"/>
      <c r="F4" s="3"/>
      <c r="G4" s="3"/>
      <c r="H4" s="3"/>
      <c r="I4" s="3">
        <v>20.197338567236301</v>
      </c>
      <c r="J4" s="3"/>
      <c r="K4" s="3"/>
      <c r="L4" s="3"/>
      <c r="M4" s="3"/>
      <c r="N4" s="3"/>
      <c r="O4" s="3"/>
      <c r="P4" s="3"/>
      <c r="Q4" s="3"/>
      <c r="R4" s="3"/>
    </row>
    <row r="5" spans="1:19" x14ac:dyDescent="0.25">
      <c r="A5" s="7" t="s">
        <v>184</v>
      </c>
      <c r="B5" s="3"/>
      <c r="C5" s="3"/>
      <c r="D5" s="3"/>
      <c r="E5" s="3"/>
      <c r="F5" s="3"/>
      <c r="G5" s="3"/>
      <c r="H5" s="3"/>
      <c r="I5" s="3"/>
      <c r="J5" s="3"/>
      <c r="K5" s="3"/>
      <c r="L5" s="3"/>
      <c r="M5" s="3"/>
      <c r="N5" s="3"/>
      <c r="O5" s="3"/>
      <c r="P5" s="3"/>
      <c r="Q5" s="3"/>
      <c r="R5" s="3"/>
    </row>
    <row r="6" spans="1:19" x14ac:dyDescent="0.25">
      <c r="A6" s="7" t="s">
        <v>185</v>
      </c>
      <c r="B6" s="3"/>
      <c r="C6" s="3"/>
      <c r="D6" s="3"/>
      <c r="E6" s="3"/>
      <c r="F6" s="3"/>
      <c r="G6" s="3"/>
      <c r="H6" s="3"/>
      <c r="I6" s="3">
        <v>33.753912062833201</v>
      </c>
      <c r="J6" s="3"/>
      <c r="K6" s="3"/>
      <c r="L6" s="3"/>
      <c r="M6" s="3"/>
      <c r="N6" s="3"/>
      <c r="O6" s="3"/>
      <c r="P6" s="3"/>
      <c r="Q6" s="3"/>
      <c r="R6" s="3"/>
    </row>
    <row r="7" spans="1:19" x14ac:dyDescent="0.25">
      <c r="A7" s="7" t="s">
        <v>186</v>
      </c>
      <c r="B7" s="3"/>
      <c r="C7" s="3"/>
      <c r="D7" s="3"/>
      <c r="E7" s="3"/>
      <c r="F7" s="3"/>
      <c r="G7" s="3"/>
      <c r="H7" s="3"/>
      <c r="I7" s="3"/>
      <c r="J7" s="3"/>
      <c r="K7" s="3"/>
      <c r="L7" s="3"/>
      <c r="M7" s="3"/>
      <c r="N7" s="3">
        <v>6.6169483412755996</v>
      </c>
      <c r="O7" s="3"/>
      <c r="P7" s="3"/>
      <c r="Q7" s="3"/>
      <c r="R7" s="3"/>
    </row>
    <row r="8" spans="1:19" x14ac:dyDescent="0.25">
      <c r="A8" s="7" t="s">
        <v>187</v>
      </c>
      <c r="B8" s="3"/>
      <c r="C8" s="3"/>
      <c r="D8" s="3"/>
      <c r="E8" s="3"/>
      <c r="F8" s="3"/>
      <c r="G8" s="3"/>
      <c r="H8" s="3">
        <v>0.88497506141665405</v>
      </c>
      <c r="I8" s="3">
        <v>0.73574049295767396</v>
      </c>
      <c r="J8" s="3"/>
      <c r="K8" s="3"/>
      <c r="L8" s="3">
        <v>1.49481919114694</v>
      </c>
      <c r="M8" s="3"/>
      <c r="N8" s="3"/>
      <c r="O8" s="3"/>
      <c r="P8" s="3"/>
      <c r="Q8" s="3"/>
      <c r="R8" s="3"/>
    </row>
    <row r="9" spans="1:19" x14ac:dyDescent="0.25">
      <c r="A9" s="7" t="s">
        <v>189</v>
      </c>
      <c r="B9" s="3"/>
      <c r="C9" s="3"/>
      <c r="D9" s="3"/>
      <c r="E9" s="3"/>
      <c r="F9" s="3"/>
      <c r="G9" s="3"/>
      <c r="H9" s="3"/>
      <c r="I9" s="3"/>
      <c r="J9" s="3">
        <v>41.367765267633899</v>
      </c>
      <c r="K9" s="3">
        <v>49.767239464582801</v>
      </c>
      <c r="L9" s="3">
        <v>56.474640821697598</v>
      </c>
      <c r="M9" s="3"/>
      <c r="N9" s="3">
        <v>60.965017002289997</v>
      </c>
      <c r="O9" s="3"/>
      <c r="P9" s="3"/>
      <c r="Q9" s="3"/>
      <c r="R9" s="3"/>
    </row>
    <row r="10" spans="1:19" x14ac:dyDescent="0.25">
      <c r="A10" s="7" t="s">
        <v>188</v>
      </c>
      <c r="B10" s="3"/>
      <c r="C10" s="3"/>
      <c r="D10" s="3"/>
      <c r="E10" s="3"/>
      <c r="F10" s="3"/>
      <c r="G10" s="3"/>
      <c r="H10" s="3"/>
      <c r="I10" s="3"/>
      <c r="J10" s="3"/>
      <c r="K10" s="3"/>
      <c r="L10" s="3">
        <v>19.200002708183099</v>
      </c>
      <c r="M10" s="3"/>
      <c r="N10" s="3"/>
      <c r="O10" s="3"/>
      <c r="P10" s="3"/>
      <c r="Q10" s="3"/>
      <c r="R10" s="3"/>
    </row>
    <row r="11" spans="1:19" x14ac:dyDescent="0.25">
      <c r="A11" s="7" t="s">
        <v>190</v>
      </c>
      <c r="B11" s="3"/>
      <c r="C11" s="3"/>
      <c r="D11" s="3"/>
      <c r="E11" s="3"/>
      <c r="F11" s="3"/>
      <c r="G11" s="3"/>
      <c r="H11" s="3"/>
      <c r="I11" s="3"/>
      <c r="J11" s="3"/>
      <c r="K11" s="3"/>
      <c r="L11" s="3"/>
      <c r="M11" s="3"/>
      <c r="N11" s="3"/>
      <c r="O11" s="3"/>
      <c r="P11" s="3"/>
      <c r="Q11" s="3"/>
      <c r="R11" s="3"/>
    </row>
    <row r="12" spans="1:19" x14ac:dyDescent="0.25">
      <c r="A12" s="7" t="s">
        <v>191</v>
      </c>
      <c r="B12" s="3"/>
      <c r="C12" s="3"/>
      <c r="D12" s="3"/>
      <c r="E12" s="3"/>
      <c r="F12" s="3"/>
      <c r="G12" s="3"/>
      <c r="H12" s="3"/>
      <c r="I12" s="3"/>
      <c r="J12" s="3"/>
      <c r="K12" s="3"/>
      <c r="L12" s="3"/>
      <c r="M12" s="3"/>
      <c r="N12" s="3"/>
      <c r="O12" s="3"/>
      <c r="P12" s="3"/>
      <c r="Q12" s="3"/>
      <c r="R12" s="3"/>
    </row>
    <row r="13" spans="1:19" x14ac:dyDescent="0.25">
      <c r="A13" s="7" t="s">
        <v>192</v>
      </c>
      <c r="B13" s="3"/>
      <c r="C13" s="3"/>
      <c r="D13" s="3"/>
      <c r="E13" s="3"/>
      <c r="F13" s="3"/>
      <c r="G13" s="3"/>
      <c r="H13" s="3"/>
      <c r="I13" s="3"/>
      <c r="J13" s="3"/>
      <c r="K13" s="3"/>
      <c r="L13" s="3"/>
      <c r="M13" s="3"/>
      <c r="N13" s="3"/>
      <c r="O13" s="3"/>
      <c r="P13" s="3"/>
      <c r="Q13" s="3"/>
      <c r="R13" s="3"/>
    </row>
    <row r="14" spans="1:19" x14ac:dyDescent="0.25">
      <c r="A14" s="7" t="s">
        <v>193</v>
      </c>
      <c r="B14" s="3"/>
      <c r="C14" s="3"/>
      <c r="D14" s="3"/>
      <c r="E14" s="3"/>
      <c r="F14" s="3"/>
      <c r="G14" s="3"/>
      <c r="H14" s="3"/>
      <c r="I14" s="3"/>
      <c r="J14" s="3"/>
      <c r="K14" s="3"/>
      <c r="L14" s="3">
        <v>26.3981314601915</v>
      </c>
      <c r="M14" s="3">
        <v>29.3579081234802</v>
      </c>
      <c r="N14" s="3">
        <v>32.924444562493001</v>
      </c>
      <c r="O14" s="3"/>
      <c r="P14" s="3"/>
      <c r="Q14" s="3">
        <v>33.908094211742998</v>
      </c>
      <c r="R14" s="3">
        <v>35.322517365791498</v>
      </c>
    </row>
    <row r="15" spans="1:19" x14ac:dyDescent="0.25">
      <c r="A15" s="7" t="s">
        <v>249</v>
      </c>
      <c r="B15" s="3"/>
      <c r="C15" s="3"/>
      <c r="D15" s="3"/>
      <c r="E15" s="3"/>
      <c r="F15" s="3"/>
      <c r="G15" s="3"/>
      <c r="H15" s="3"/>
      <c r="I15" s="3"/>
      <c r="J15" s="3"/>
      <c r="K15" s="3">
        <v>6.8</v>
      </c>
      <c r="L15" s="3"/>
      <c r="M15" s="3"/>
      <c r="N15" s="3"/>
      <c r="O15" s="3"/>
      <c r="P15" s="3"/>
      <c r="Q15" s="3"/>
      <c r="R15" s="3"/>
    </row>
    <row r="16" spans="1:19" x14ac:dyDescent="0.25">
      <c r="A16" s="7" t="s">
        <v>194</v>
      </c>
      <c r="B16" s="3"/>
      <c r="C16" s="3"/>
      <c r="D16" s="3"/>
      <c r="E16" s="3"/>
      <c r="F16" s="3"/>
      <c r="G16" s="3"/>
      <c r="H16" s="3"/>
      <c r="I16" s="3"/>
      <c r="J16" s="3"/>
      <c r="K16" s="3"/>
      <c r="L16" s="3"/>
      <c r="M16" s="3"/>
      <c r="N16" s="3"/>
      <c r="O16" s="3"/>
      <c r="P16" s="3"/>
      <c r="Q16" s="3"/>
      <c r="R16" s="3"/>
    </row>
    <row r="17" spans="1:18" x14ac:dyDescent="0.25">
      <c r="A17" s="7" t="s">
        <v>195</v>
      </c>
      <c r="B17" s="3"/>
      <c r="C17" s="3"/>
      <c r="D17" s="3"/>
      <c r="E17" s="3"/>
      <c r="F17" s="3"/>
      <c r="G17" s="3"/>
      <c r="H17" s="3"/>
      <c r="I17" s="3"/>
      <c r="J17" s="3"/>
      <c r="K17" s="3"/>
      <c r="L17" s="3"/>
      <c r="M17" s="3"/>
      <c r="N17" s="3"/>
      <c r="O17" s="3"/>
      <c r="P17" s="3"/>
      <c r="Q17" s="3"/>
      <c r="R17" s="3"/>
    </row>
    <row r="18" spans="1:18" x14ac:dyDescent="0.25">
      <c r="A18" s="7" t="s">
        <v>196</v>
      </c>
      <c r="B18" s="3"/>
      <c r="C18" s="3"/>
      <c r="D18" s="3"/>
      <c r="E18" s="3"/>
      <c r="F18" s="3"/>
      <c r="G18" s="3"/>
      <c r="H18" s="3"/>
      <c r="I18" s="3"/>
      <c r="J18" s="3"/>
      <c r="K18" s="3"/>
      <c r="L18" s="3"/>
      <c r="M18" s="3"/>
      <c r="N18" s="3"/>
      <c r="O18" s="3"/>
      <c r="P18" s="3"/>
      <c r="Q18" s="3"/>
      <c r="R18" s="3"/>
    </row>
    <row r="19" spans="1:18" x14ac:dyDescent="0.25">
      <c r="A19" s="7" t="s">
        <v>197</v>
      </c>
      <c r="B19" s="3"/>
      <c r="C19" s="3"/>
      <c r="D19" s="3"/>
      <c r="E19" s="3"/>
      <c r="F19" s="3"/>
      <c r="G19" s="3"/>
      <c r="H19" s="3"/>
      <c r="I19" s="3"/>
      <c r="J19" s="3"/>
      <c r="K19" s="3"/>
      <c r="L19" s="3"/>
      <c r="M19" s="3"/>
      <c r="N19" s="3"/>
      <c r="O19" s="3"/>
      <c r="P19" s="3">
        <v>13.7071933952043</v>
      </c>
      <c r="Q19" s="3"/>
      <c r="R19" s="3"/>
    </row>
    <row r="20" spans="1:18" x14ac:dyDescent="0.25">
      <c r="A20" s="7" t="s">
        <v>198</v>
      </c>
      <c r="B20" s="3"/>
      <c r="C20" s="3"/>
      <c r="D20" s="3"/>
      <c r="E20" s="3"/>
      <c r="F20" s="3"/>
      <c r="G20" s="3"/>
      <c r="H20" s="3"/>
      <c r="I20" s="3"/>
      <c r="J20" s="3"/>
      <c r="K20" s="3"/>
      <c r="L20" s="3"/>
      <c r="M20" s="3"/>
      <c r="N20" s="3"/>
      <c r="O20" s="3"/>
      <c r="P20" s="3"/>
      <c r="Q20" s="3"/>
      <c r="R20" s="3"/>
    </row>
    <row r="21" spans="1:18" x14ac:dyDescent="0.25">
      <c r="A21" s="7" t="s">
        <v>199</v>
      </c>
      <c r="B21" s="3"/>
      <c r="C21" s="3"/>
      <c r="D21" s="3"/>
      <c r="E21" s="3"/>
      <c r="F21" s="3"/>
      <c r="G21" s="3"/>
      <c r="H21" s="3"/>
      <c r="I21" s="3"/>
      <c r="J21" s="3"/>
      <c r="K21" s="3"/>
      <c r="L21" s="3"/>
      <c r="M21" s="3"/>
      <c r="N21" s="3"/>
      <c r="O21" s="3"/>
      <c r="P21" s="3"/>
      <c r="Q21" s="3"/>
      <c r="R21" s="3"/>
    </row>
    <row r="22" spans="1:18" x14ac:dyDescent="0.25">
      <c r="A22" s="7" t="s">
        <v>200</v>
      </c>
      <c r="B22" s="3"/>
      <c r="C22" s="3"/>
      <c r="D22" s="3"/>
      <c r="E22" s="3">
        <v>5.4480546187381798</v>
      </c>
      <c r="F22" s="3"/>
      <c r="G22" s="3"/>
      <c r="H22" s="3"/>
      <c r="I22" s="3"/>
      <c r="J22" s="3"/>
      <c r="K22" s="3"/>
      <c r="L22" s="3"/>
      <c r="M22" s="3"/>
      <c r="N22" s="3">
        <v>17.369199999999999</v>
      </c>
      <c r="O22" s="3"/>
      <c r="P22" s="3">
        <v>65.3</v>
      </c>
      <c r="Q22" s="3"/>
      <c r="R22" s="3"/>
    </row>
    <row r="23" spans="1:18" x14ac:dyDescent="0.25">
      <c r="A23" s="7" t="s">
        <v>201</v>
      </c>
      <c r="B23" s="3"/>
      <c r="C23" s="3"/>
      <c r="D23" s="3"/>
      <c r="E23" s="3"/>
      <c r="F23" s="3"/>
      <c r="G23" s="3"/>
      <c r="H23" s="3"/>
      <c r="I23" s="3"/>
      <c r="J23" s="3"/>
      <c r="K23" s="3"/>
      <c r="L23" s="3"/>
      <c r="M23" s="3">
        <v>15.400005619250001</v>
      </c>
      <c r="N23" s="3"/>
      <c r="O23" s="3"/>
      <c r="P23" s="3"/>
      <c r="Q23" s="3"/>
      <c r="R23" s="3"/>
    </row>
    <row r="24" spans="1:18" x14ac:dyDescent="0.25">
      <c r="A24" s="7" t="s">
        <v>202</v>
      </c>
      <c r="B24" s="3"/>
      <c r="C24" s="3"/>
      <c r="D24" s="3"/>
      <c r="E24" s="3"/>
      <c r="F24" s="3"/>
      <c r="G24" s="3"/>
      <c r="H24" s="3"/>
      <c r="I24" s="3"/>
      <c r="J24" s="3"/>
      <c r="K24" s="3"/>
      <c r="L24" s="3"/>
      <c r="M24" s="3"/>
      <c r="N24" s="3"/>
      <c r="O24" s="3"/>
      <c r="P24" s="3"/>
      <c r="Q24" s="3"/>
      <c r="R24" s="3"/>
    </row>
    <row r="25" spans="1:18" x14ac:dyDescent="0.25">
      <c r="A25" s="7" t="s">
        <v>203</v>
      </c>
      <c r="B25" s="3"/>
      <c r="C25" s="3"/>
      <c r="D25" s="3">
        <v>5.2494041814456702</v>
      </c>
      <c r="E25" s="3"/>
      <c r="F25" s="3"/>
      <c r="G25" s="3"/>
      <c r="H25" s="3"/>
      <c r="I25" s="3"/>
      <c r="J25" s="3">
        <v>13.4510484525648</v>
      </c>
      <c r="K25" s="3"/>
      <c r="L25" s="3"/>
      <c r="M25" s="3"/>
      <c r="N25" s="3">
        <v>20.2305277771862</v>
      </c>
      <c r="O25" s="3"/>
      <c r="P25" s="3"/>
      <c r="Q25" s="3"/>
      <c r="R25" s="3">
        <v>32.200000000000003</v>
      </c>
    </row>
    <row r="26" spans="1:18" x14ac:dyDescent="0.25">
      <c r="A26" s="7" t="s">
        <v>204</v>
      </c>
      <c r="B26" s="3"/>
      <c r="C26" s="3"/>
      <c r="D26" s="3"/>
      <c r="E26" s="3"/>
      <c r="F26" s="3"/>
      <c r="G26" s="3"/>
      <c r="H26" s="3"/>
      <c r="I26" s="3"/>
      <c r="J26" s="3"/>
      <c r="K26" s="3"/>
      <c r="L26" s="3"/>
      <c r="M26" s="3"/>
      <c r="N26" s="3">
        <v>44.922768040330602</v>
      </c>
      <c r="O26" s="3"/>
      <c r="P26" s="3"/>
      <c r="Q26" s="3"/>
      <c r="R26" s="3"/>
    </row>
    <row r="27" spans="1:18" x14ac:dyDescent="0.25">
      <c r="A27" s="7" t="s">
        <v>205</v>
      </c>
      <c r="B27" s="3"/>
      <c r="C27" s="3"/>
      <c r="D27" s="3"/>
      <c r="E27" s="3"/>
      <c r="F27" s="3"/>
      <c r="G27" s="3"/>
      <c r="H27" s="3"/>
      <c r="I27" s="3"/>
      <c r="J27" s="3"/>
      <c r="K27" s="3"/>
      <c r="L27" s="3"/>
      <c r="M27" s="3"/>
      <c r="N27" s="3"/>
      <c r="O27" s="3"/>
      <c r="P27" s="3"/>
      <c r="Q27" s="3"/>
      <c r="R27" s="3"/>
    </row>
    <row r="28" spans="1:18" x14ac:dyDescent="0.25">
      <c r="A28" s="7" t="s">
        <v>206</v>
      </c>
      <c r="B28" s="3"/>
      <c r="C28" s="3"/>
      <c r="D28" s="3"/>
      <c r="E28" s="3"/>
      <c r="F28" s="3"/>
      <c r="G28" s="3"/>
      <c r="H28" s="3"/>
      <c r="I28" s="3"/>
      <c r="J28" s="3"/>
      <c r="K28" s="3"/>
      <c r="L28" s="3"/>
      <c r="M28" s="3"/>
      <c r="N28" s="3"/>
      <c r="O28" s="3"/>
      <c r="P28" s="3"/>
      <c r="Q28" s="3"/>
      <c r="R28" s="3"/>
    </row>
    <row r="29" spans="1:18" x14ac:dyDescent="0.25">
      <c r="A29" s="7" t="s">
        <v>207</v>
      </c>
      <c r="B29" s="3"/>
      <c r="C29" s="3"/>
      <c r="D29" s="3"/>
      <c r="E29" s="3"/>
      <c r="F29" s="3"/>
      <c r="G29" s="3"/>
      <c r="H29" s="3"/>
      <c r="I29" s="3"/>
      <c r="J29" s="3"/>
      <c r="K29" s="3"/>
      <c r="L29" s="3"/>
      <c r="M29" s="3"/>
      <c r="N29" s="3"/>
      <c r="O29" s="3"/>
      <c r="P29" s="3"/>
      <c r="Q29" s="3"/>
      <c r="R29" s="3">
        <v>16.1230051442103</v>
      </c>
    </row>
    <row r="30" spans="1:18" x14ac:dyDescent="0.25">
      <c r="A30" s="7" t="s">
        <v>208</v>
      </c>
      <c r="B30" s="3"/>
      <c r="C30" s="3"/>
      <c r="D30" s="3"/>
      <c r="E30" s="3"/>
      <c r="F30" s="3"/>
      <c r="G30" s="3"/>
      <c r="H30" s="3"/>
      <c r="I30" s="3"/>
      <c r="J30" s="3"/>
      <c r="K30" s="3"/>
      <c r="L30" s="3"/>
      <c r="M30" s="3"/>
      <c r="N30" s="3"/>
      <c r="O30" s="3"/>
      <c r="P30" s="3"/>
      <c r="Q30" s="3"/>
      <c r="R30" s="3"/>
    </row>
    <row r="31" spans="1:18" x14ac:dyDescent="0.25">
      <c r="A31" s="7" t="s">
        <v>209</v>
      </c>
      <c r="B31" s="3"/>
      <c r="C31" s="3">
        <v>20.190687701026199</v>
      </c>
      <c r="D31" s="3"/>
      <c r="E31" s="3">
        <v>25.963246580053202</v>
      </c>
      <c r="F31" s="3"/>
      <c r="G31" s="3">
        <v>33.547298734533499</v>
      </c>
      <c r="H31" s="3"/>
      <c r="I31" s="3">
        <v>41.653474677280897</v>
      </c>
      <c r="J31" s="3">
        <v>45.701151433789597</v>
      </c>
      <c r="K31" s="3"/>
      <c r="L31" s="3">
        <v>52.957712992170798</v>
      </c>
      <c r="M31" s="3">
        <v>56.396822827043003</v>
      </c>
      <c r="N31" s="3">
        <v>60.130644665231401</v>
      </c>
      <c r="O31" s="3">
        <v>66.508752390065695</v>
      </c>
      <c r="P31" s="3"/>
      <c r="Q31" s="3"/>
      <c r="R31" s="3"/>
    </row>
    <row r="32" spans="1:18" x14ac:dyDescent="0.25">
      <c r="A32" s="7" t="s">
        <v>210</v>
      </c>
      <c r="B32" s="3"/>
      <c r="C32" s="3"/>
      <c r="D32" s="3"/>
      <c r="E32" s="3"/>
      <c r="F32" s="3"/>
      <c r="G32" s="3"/>
      <c r="H32" s="3"/>
      <c r="I32" s="3"/>
      <c r="J32" s="3"/>
      <c r="K32" s="3"/>
      <c r="L32" s="3">
        <v>6.13562816697325</v>
      </c>
      <c r="M32" s="3"/>
      <c r="N32" s="3"/>
      <c r="O32" s="3"/>
      <c r="P32" s="3"/>
      <c r="Q32" s="3"/>
      <c r="R32" s="3"/>
    </row>
    <row r="33" spans="1:18" x14ac:dyDescent="0.25">
      <c r="A33" s="7" t="s">
        <v>211</v>
      </c>
      <c r="B33" s="3"/>
      <c r="C33" s="3"/>
      <c r="D33" s="3"/>
      <c r="E33" s="3"/>
      <c r="F33" s="3"/>
      <c r="G33" s="3"/>
      <c r="H33" s="3"/>
      <c r="I33" s="3"/>
      <c r="J33" s="3"/>
      <c r="K33" s="3"/>
      <c r="L33" s="3"/>
      <c r="M33" s="3"/>
      <c r="N33" s="3"/>
      <c r="O33" s="3"/>
      <c r="P33" s="3"/>
      <c r="Q33" s="3"/>
      <c r="R33" s="3"/>
    </row>
    <row r="34" spans="1:18" x14ac:dyDescent="0.25">
      <c r="A34" s="7" t="s">
        <v>212</v>
      </c>
      <c r="B34" s="3"/>
      <c r="C34" s="3"/>
      <c r="D34" s="3"/>
      <c r="E34" s="3"/>
      <c r="F34" s="3"/>
      <c r="G34" s="3"/>
      <c r="H34" s="3"/>
      <c r="I34" s="3">
        <v>0.65651306583291202</v>
      </c>
      <c r="J34" s="3"/>
      <c r="K34" s="3"/>
      <c r="L34" s="3">
        <v>5.2857061973980199</v>
      </c>
      <c r="M34" s="3"/>
      <c r="N34" s="3"/>
      <c r="O34" s="3"/>
      <c r="P34" s="3"/>
      <c r="Q34" s="3"/>
      <c r="R34" s="3"/>
    </row>
    <row r="35" spans="1:18" x14ac:dyDescent="0.25">
      <c r="A35" s="7" t="s">
        <v>213</v>
      </c>
      <c r="B35" s="3"/>
      <c r="C35" s="3"/>
      <c r="D35" s="3"/>
      <c r="E35" s="3"/>
      <c r="F35" s="3"/>
      <c r="G35" s="3"/>
      <c r="H35" s="3"/>
      <c r="I35" s="3"/>
      <c r="J35" s="3"/>
      <c r="K35" s="3"/>
      <c r="L35" s="3"/>
      <c r="M35" s="3"/>
      <c r="N35" s="3"/>
      <c r="O35" s="3"/>
      <c r="P35" s="3"/>
      <c r="Q35" s="3"/>
      <c r="R35" s="3"/>
    </row>
    <row r="36" spans="1:18" x14ac:dyDescent="0.25">
      <c r="A36" s="7" t="s">
        <v>214</v>
      </c>
      <c r="B36" s="3"/>
      <c r="C36" s="3"/>
      <c r="D36" s="3"/>
      <c r="E36" s="3"/>
      <c r="F36" s="3"/>
      <c r="G36" s="3"/>
      <c r="H36" s="3"/>
      <c r="I36" s="3"/>
      <c r="J36" s="3"/>
      <c r="K36" s="3"/>
      <c r="L36" s="3"/>
      <c r="M36" s="3"/>
      <c r="N36" s="3"/>
      <c r="O36" s="3"/>
      <c r="P36" s="3"/>
      <c r="Q36" s="3"/>
      <c r="R36" s="3"/>
    </row>
    <row r="37" spans="1:18" x14ac:dyDescent="0.25">
      <c r="A37" s="7" t="s">
        <v>215</v>
      </c>
      <c r="B37" s="3"/>
      <c r="C37" s="3"/>
      <c r="D37" s="3"/>
      <c r="E37" s="3"/>
      <c r="F37" s="3"/>
      <c r="G37" s="3"/>
      <c r="H37" s="3"/>
      <c r="I37" s="3"/>
      <c r="J37" s="3"/>
      <c r="K37" s="3"/>
      <c r="L37" s="3"/>
      <c r="M37" s="3"/>
      <c r="N37" s="3"/>
      <c r="O37" s="3"/>
      <c r="P37" s="3"/>
      <c r="Q37" s="3"/>
      <c r="R37" s="3"/>
    </row>
    <row r="38" spans="1:18" x14ac:dyDescent="0.25">
      <c r="A38" s="7" t="s">
        <v>216</v>
      </c>
      <c r="B38" s="3"/>
      <c r="C38" s="3"/>
      <c r="D38" s="3">
        <v>5.9901048686474496</v>
      </c>
      <c r="E38" s="3"/>
      <c r="F38" s="3"/>
      <c r="G38" s="3"/>
      <c r="H38" s="3"/>
      <c r="I38" s="3"/>
      <c r="J38" s="3"/>
      <c r="K38" s="3"/>
      <c r="L38" s="3"/>
      <c r="M38" s="3"/>
      <c r="N38" s="3"/>
      <c r="O38" s="3"/>
      <c r="P38" s="3"/>
      <c r="Q38" s="3"/>
      <c r="R38" s="3"/>
    </row>
    <row r="39" spans="1:18" x14ac:dyDescent="0.25">
      <c r="A39" s="7" t="s">
        <v>217</v>
      </c>
      <c r="B39" s="3"/>
      <c r="C39" s="3"/>
      <c r="D39" s="3"/>
      <c r="E39" s="3"/>
      <c r="F39" s="3"/>
      <c r="G39" s="3"/>
      <c r="H39" s="3"/>
      <c r="I39" s="3"/>
      <c r="J39" s="3"/>
      <c r="K39" s="3"/>
      <c r="L39" s="3"/>
      <c r="M39" s="3"/>
      <c r="N39" s="3"/>
      <c r="O39" s="3"/>
      <c r="P39" s="3"/>
      <c r="Q39" s="3"/>
      <c r="R39" s="3"/>
    </row>
    <row r="40" spans="1:18" x14ac:dyDescent="0.25">
      <c r="A40" s="7" t="s">
        <v>218</v>
      </c>
      <c r="B40" s="3"/>
      <c r="C40" s="3"/>
      <c r="D40" s="3"/>
      <c r="E40" s="3"/>
      <c r="F40" s="3"/>
      <c r="G40" s="3"/>
      <c r="H40" s="3"/>
      <c r="I40" s="3"/>
      <c r="J40" s="3"/>
      <c r="K40" s="3"/>
      <c r="L40" s="3"/>
      <c r="M40" s="3"/>
      <c r="N40" s="3"/>
      <c r="O40" s="3"/>
      <c r="P40" s="3"/>
      <c r="Q40" s="3"/>
      <c r="R40" s="3"/>
    </row>
    <row r="41" spans="1:18" x14ac:dyDescent="0.25">
      <c r="A41" s="7" t="s">
        <v>219</v>
      </c>
      <c r="B41" s="3"/>
      <c r="C41" s="3"/>
      <c r="D41" s="3"/>
      <c r="E41" s="3"/>
      <c r="F41" s="3"/>
      <c r="G41" s="3"/>
      <c r="H41" s="3"/>
      <c r="I41" s="3"/>
      <c r="J41" s="3"/>
      <c r="K41" s="3"/>
      <c r="L41" s="3"/>
      <c r="M41" s="3"/>
      <c r="N41" s="3"/>
      <c r="O41" s="3"/>
      <c r="P41" s="3"/>
      <c r="Q41" s="3"/>
      <c r="R41" s="3"/>
    </row>
    <row r="42" spans="1:18" x14ac:dyDescent="0.25">
      <c r="A42" s="7" t="s">
        <v>220</v>
      </c>
      <c r="B42" s="3"/>
      <c r="C42" s="3"/>
      <c r="D42" s="3"/>
      <c r="E42" s="3"/>
      <c r="F42" s="3"/>
      <c r="G42" s="3"/>
      <c r="H42" s="3"/>
      <c r="I42" s="3"/>
      <c r="J42" s="3"/>
      <c r="K42" s="3"/>
      <c r="L42" s="3"/>
      <c r="M42" s="3"/>
      <c r="N42" s="3"/>
      <c r="O42" s="3"/>
      <c r="P42" s="3"/>
      <c r="Q42" s="3"/>
      <c r="R42" s="3"/>
    </row>
    <row r="43" spans="1:18" x14ac:dyDescent="0.25">
      <c r="A43" s="7" t="s">
        <v>221</v>
      </c>
      <c r="B43" s="3"/>
      <c r="C43" s="3"/>
      <c r="D43" s="3"/>
      <c r="E43" s="3"/>
      <c r="F43" s="3"/>
      <c r="G43" s="3"/>
      <c r="H43" s="3"/>
      <c r="I43" s="3"/>
      <c r="J43" s="3"/>
      <c r="K43" s="3">
        <v>8</v>
      </c>
      <c r="L43" s="3"/>
      <c r="M43" s="3"/>
      <c r="N43" s="3"/>
      <c r="O43" s="3"/>
      <c r="P43" s="3"/>
      <c r="Q43" s="3"/>
      <c r="R43" s="3"/>
    </row>
    <row r="44" spans="1:18" x14ac:dyDescent="0.25">
      <c r="A44" s="7" t="s">
        <v>222</v>
      </c>
      <c r="B44" s="3"/>
      <c r="C44" s="3"/>
      <c r="D44" s="3"/>
      <c r="E44" s="3"/>
      <c r="F44" s="3"/>
      <c r="G44" s="3"/>
      <c r="H44" s="3"/>
      <c r="I44" s="3"/>
      <c r="J44" s="3"/>
      <c r="K44" s="3"/>
      <c r="L44" s="3">
        <v>8.6110597929994395</v>
      </c>
      <c r="M44" s="3"/>
      <c r="N44" s="3"/>
      <c r="O44" s="3"/>
      <c r="P44" s="3"/>
      <c r="Q44" s="3"/>
      <c r="R44" s="3"/>
    </row>
    <row r="45" spans="1:18" x14ac:dyDescent="0.25">
      <c r="A45" s="7" t="s">
        <v>223</v>
      </c>
      <c r="B45" s="3"/>
      <c r="C45" s="3"/>
      <c r="D45" s="3"/>
      <c r="E45" s="3"/>
      <c r="F45" s="3"/>
      <c r="G45" s="3"/>
      <c r="H45" s="3"/>
      <c r="I45" s="3"/>
      <c r="J45" s="3"/>
      <c r="K45" s="3"/>
      <c r="L45" s="3"/>
      <c r="M45" s="3"/>
      <c r="N45" s="3"/>
      <c r="O45" s="3">
        <v>4.8</v>
      </c>
      <c r="P45" s="3"/>
      <c r="Q45" s="3"/>
      <c r="R45" s="3"/>
    </row>
    <row r="46" spans="1:18" x14ac:dyDescent="0.25">
      <c r="A46" s="7" t="s">
        <v>224</v>
      </c>
      <c r="B46" s="3"/>
      <c r="C46" s="3"/>
      <c r="D46" s="3"/>
      <c r="E46" s="3"/>
      <c r="F46" s="3"/>
      <c r="G46" s="3"/>
      <c r="H46" s="3"/>
      <c r="I46" s="3"/>
      <c r="J46" s="3"/>
      <c r="K46" s="3"/>
      <c r="L46" s="3"/>
      <c r="M46" s="3">
        <v>13.172495695827701</v>
      </c>
      <c r="N46" s="3"/>
      <c r="O46" s="3"/>
      <c r="P46" s="3"/>
      <c r="Q46" s="3"/>
      <c r="R46" s="3"/>
    </row>
    <row r="47" spans="1:18" x14ac:dyDescent="0.25">
      <c r="A47" s="7" t="s">
        <v>225</v>
      </c>
      <c r="B47" s="3"/>
      <c r="C47" s="3"/>
      <c r="D47" s="3"/>
      <c r="E47" s="3"/>
      <c r="F47" s="3"/>
      <c r="G47" s="3"/>
      <c r="H47" s="3"/>
      <c r="I47" s="3">
        <v>14.5812193291003</v>
      </c>
      <c r="J47" s="3"/>
      <c r="K47" s="3"/>
      <c r="L47" s="3"/>
      <c r="M47" s="3"/>
      <c r="N47" s="3"/>
      <c r="O47" s="3">
        <v>29.691415404104301</v>
      </c>
      <c r="P47" s="3"/>
      <c r="Q47" s="3"/>
      <c r="R47" s="3"/>
    </row>
    <row r="48" spans="1:18" x14ac:dyDescent="0.25">
      <c r="A48" s="9" t="s">
        <v>168</v>
      </c>
      <c r="B48" s="11"/>
      <c r="C48" s="11"/>
      <c r="D48" s="11"/>
      <c r="E48" s="11"/>
      <c r="F48" s="11"/>
      <c r="G48" s="11"/>
      <c r="H48" s="11"/>
      <c r="I48" s="11"/>
      <c r="J48" s="11"/>
      <c r="K48" s="11"/>
      <c r="L48" s="11"/>
      <c r="M48" s="11"/>
      <c r="N48" s="11"/>
      <c r="O48" s="11"/>
      <c r="P48" s="11"/>
      <c r="Q48" s="11"/>
      <c r="R48" s="11"/>
    </row>
    <row r="49" spans="1:18" x14ac:dyDescent="0.25">
      <c r="A49" s="7" t="s">
        <v>183</v>
      </c>
      <c r="B49" s="3"/>
      <c r="C49" s="3"/>
      <c r="D49" s="3"/>
      <c r="E49" s="3"/>
      <c r="F49" s="3"/>
      <c r="G49" s="3"/>
      <c r="H49" s="3"/>
      <c r="I49" s="3">
        <v>22.388573705140001</v>
      </c>
      <c r="J49" s="3"/>
      <c r="K49" s="3"/>
      <c r="L49" s="3"/>
      <c r="M49" s="3"/>
      <c r="N49" s="3"/>
      <c r="O49" s="3"/>
      <c r="P49" s="3"/>
      <c r="Q49" s="3"/>
      <c r="R49" s="3"/>
    </row>
    <row r="50" spans="1:18" x14ac:dyDescent="0.25">
      <c r="A50" s="7" t="s">
        <v>184</v>
      </c>
      <c r="B50" s="3"/>
      <c r="C50" s="3"/>
      <c r="D50" s="3"/>
      <c r="E50" s="3"/>
      <c r="F50" s="3"/>
      <c r="G50" s="3"/>
      <c r="H50" s="3"/>
      <c r="I50" s="3"/>
      <c r="J50" s="3"/>
      <c r="K50" s="3"/>
      <c r="L50" s="3"/>
      <c r="M50" s="3"/>
      <c r="N50" s="3"/>
      <c r="O50" s="3"/>
      <c r="P50" s="3"/>
      <c r="Q50" s="3"/>
      <c r="R50" s="3"/>
    </row>
    <row r="51" spans="1:18" x14ac:dyDescent="0.25">
      <c r="A51" s="7" t="s">
        <v>185</v>
      </c>
      <c r="B51" s="3"/>
      <c r="C51" s="3"/>
      <c r="D51" s="3"/>
      <c r="E51" s="3"/>
      <c r="F51" s="3"/>
      <c r="G51" s="3"/>
      <c r="H51" s="3"/>
      <c r="I51" s="3">
        <v>40.5140470651953</v>
      </c>
      <c r="J51" s="3"/>
      <c r="K51" s="3"/>
      <c r="L51" s="3"/>
      <c r="M51" s="3"/>
      <c r="N51" s="3"/>
      <c r="O51" s="3"/>
      <c r="P51" s="3"/>
      <c r="Q51" s="3"/>
      <c r="R51" s="3"/>
    </row>
    <row r="52" spans="1:18" x14ac:dyDescent="0.25">
      <c r="A52" s="7" t="s">
        <v>186</v>
      </c>
      <c r="B52" s="3"/>
      <c r="C52" s="3"/>
      <c r="D52" s="3"/>
      <c r="E52" s="3"/>
      <c r="F52" s="3"/>
      <c r="G52" s="3"/>
      <c r="H52" s="3"/>
      <c r="I52" s="3"/>
      <c r="J52" s="3"/>
      <c r="K52" s="3"/>
      <c r="L52" s="3"/>
      <c r="M52" s="3"/>
      <c r="N52" s="3">
        <v>12.278866065766501</v>
      </c>
      <c r="O52" s="3"/>
      <c r="P52" s="3"/>
      <c r="Q52" s="3"/>
      <c r="R52" s="3"/>
    </row>
    <row r="53" spans="1:18" x14ac:dyDescent="0.25">
      <c r="A53" s="7" t="s">
        <v>187</v>
      </c>
      <c r="B53" s="3"/>
      <c r="C53" s="3"/>
      <c r="D53" s="3"/>
      <c r="E53" s="3"/>
      <c r="F53" s="3"/>
      <c r="G53" s="3"/>
      <c r="H53" s="3">
        <v>1.6896866055972799</v>
      </c>
      <c r="I53" s="3">
        <v>1.3804759793361501</v>
      </c>
      <c r="J53" s="3"/>
      <c r="K53" s="3"/>
      <c r="L53" s="3">
        <v>3.9070530050761398</v>
      </c>
      <c r="M53" s="3"/>
      <c r="N53" s="3"/>
      <c r="O53" s="3"/>
      <c r="P53" s="3"/>
      <c r="Q53" s="3"/>
      <c r="R53" s="3"/>
    </row>
    <row r="54" spans="1:18" x14ac:dyDescent="0.25">
      <c r="A54" s="7" t="s">
        <v>189</v>
      </c>
      <c r="B54" s="3"/>
      <c r="C54" s="3"/>
      <c r="D54" s="3"/>
      <c r="E54" s="3"/>
      <c r="F54" s="3"/>
      <c r="G54" s="3"/>
      <c r="H54" s="3"/>
      <c r="I54" s="3"/>
      <c r="J54" s="3">
        <v>44.246474891825798</v>
      </c>
      <c r="K54" s="3">
        <v>50.886996547755999</v>
      </c>
      <c r="L54" s="3">
        <v>57.852622652828302</v>
      </c>
      <c r="M54" s="3"/>
      <c r="N54" s="3">
        <v>62.9211658179537</v>
      </c>
      <c r="O54" s="3"/>
      <c r="P54" s="3"/>
      <c r="Q54" s="3"/>
      <c r="R54" s="3"/>
    </row>
    <row r="55" spans="1:18" x14ac:dyDescent="0.25">
      <c r="A55" s="7" t="s">
        <v>188</v>
      </c>
      <c r="B55" s="3"/>
      <c r="C55" s="3"/>
      <c r="D55" s="3"/>
      <c r="E55" s="3"/>
      <c r="F55" s="3"/>
      <c r="G55" s="3"/>
      <c r="H55" s="3"/>
      <c r="I55" s="3"/>
      <c r="J55" s="3"/>
      <c r="K55" s="3"/>
      <c r="L55" s="3">
        <v>27.3999939914824</v>
      </c>
      <c r="M55" s="3"/>
      <c r="N55" s="3"/>
      <c r="O55" s="3"/>
      <c r="P55" s="3"/>
      <c r="Q55" s="3"/>
      <c r="R55" s="3"/>
    </row>
    <row r="56" spans="1:18" x14ac:dyDescent="0.25">
      <c r="A56" s="7" t="s">
        <v>190</v>
      </c>
      <c r="B56" s="3"/>
      <c r="C56" s="3"/>
      <c r="D56" s="3"/>
      <c r="E56" s="3"/>
      <c r="F56" s="3"/>
      <c r="G56" s="3"/>
      <c r="H56" s="3"/>
      <c r="I56" s="3"/>
      <c r="J56" s="3"/>
      <c r="K56" s="3"/>
      <c r="L56" s="3"/>
      <c r="M56" s="3"/>
      <c r="N56" s="3"/>
      <c r="O56" s="3"/>
      <c r="P56" s="3"/>
      <c r="Q56" s="3"/>
      <c r="R56" s="3"/>
    </row>
    <row r="57" spans="1:18" x14ac:dyDescent="0.25">
      <c r="A57" s="7" t="s">
        <v>191</v>
      </c>
      <c r="B57" s="3"/>
      <c r="C57" s="3"/>
      <c r="D57" s="3"/>
      <c r="E57" s="3"/>
      <c r="F57" s="3"/>
      <c r="G57" s="3"/>
      <c r="H57" s="3"/>
      <c r="I57" s="3"/>
      <c r="J57" s="3"/>
      <c r="K57" s="3"/>
      <c r="L57" s="3"/>
      <c r="M57" s="3"/>
      <c r="N57" s="3"/>
      <c r="O57" s="3"/>
      <c r="P57" s="3"/>
      <c r="Q57" s="3"/>
      <c r="R57" s="3"/>
    </row>
    <row r="58" spans="1:18" x14ac:dyDescent="0.25">
      <c r="A58" s="7" t="s">
        <v>192</v>
      </c>
      <c r="B58" s="3"/>
      <c r="C58" s="3"/>
      <c r="D58" s="3"/>
      <c r="E58" s="3"/>
      <c r="F58" s="3"/>
      <c r="G58" s="3"/>
      <c r="H58" s="3"/>
      <c r="I58" s="3"/>
      <c r="J58" s="3"/>
      <c r="K58" s="3"/>
      <c r="L58" s="3"/>
      <c r="M58" s="3"/>
      <c r="N58" s="3"/>
      <c r="O58" s="3"/>
      <c r="P58" s="3"/>
      <c r="Q58" s="3"/>
      <c r="R58" s="3"/>
    </row>
    <row r="59" spans="1:18" x14ac:dyDescent="0.25">
      <c r="A59" s="7" t="s">
        <v>193</v>
      </c>
      <c r="B59" s="3"/>
      <c r="C59" s="3"/>
      <c r="D59" s="3"/>
      <c r="E59" s="3"/>
      <c r="F59" s="3"/>
      <c r="G59" s="3"/>
      <c r="H59" s="3"/>
      <c r="I59" s="3"/>
      <c r="J59" s="3"/>
      <c r="K59" s="3"/>
      <c r="L59" s="3">
        <v>60.2019247865137</v>
      </c>
      <c r="M59" s="3">
        <v>45.228661989852597</v>
      </c>
      <c r="N59" s="3">
        <v>39.808870796793798</v>
      </c>
      <c r="O59" s="3"/>
      <c r="P59" s="3"/>
      <c r="Q59" s="3">
        <v>43.262762821113398</v>
      </c>
      <c r="R59" s="3">
        <v>46.406470490089902</v>
      </c>
    </row>
    <row r="60" spans="1:18" x14ac:dyDescent="0.25">
      <c r="A60" s="7" t="s">
        <v>249</v>
      </c>
      <c r="B60" s="3"/>
      <c r="C60" s="3"/>
      <c r="D60" s="3"/>
      <c r="E60" s="3"/>
      <c r="F60" s="3"/>
      <c r="G60" s="3"/>
      <c r="H60" s="3"/>
      <c r="I60" s="3"/>
      <c r="J60" s="3"/>
      <c r="K60" s="3">
        <v>13.6</v>
      </c>
      <c r="L60" s="3"/>
      <c r="M60" s="3"/>
      <c r="N60" s="3"/>
      <c r="O60" s="3"/>
      <c r="P60" s="3"/>
      <c r="Q60" s="3"/>
      <c r="R60" s="3"/>
    </row>
    <row r="61" spans="1:18" x14ac:dyDescent="0.25">
      <c r="A61" s="7" t="s">
        <v>194</v>
      </c>
      <c r="B61" s="3"/>
      <c r="C61" s="3"/>
      <c r="D61" s="3"/>
      <c r="E61" s="3"/>
      <c r="F61" s="3"/>
      <c r="G61" s="3"/>
      <c r="H61" s="3"/>
      <c r="I61" s="3"/>
      <c r="J61" s="3"/>
      <c r="K61" s="3"/>
      <c r="L61" s="3"/>
      <c r="M61" s="3"/>
      <c r="N61" s="3"/>
      <c r="O61" s="3"/>
      <c r="P61" s="3"/>
      <c r="Q61" s="3"/>
      <c r="R61" s="3"/>
    </row>
    <row r="62" spans="1:18" x14ac:dyDescent="0.25">
      <c r="A62" s="7" t="s">
        <v>195</v>
      </c>
      <c r="B62" s="3"/>
      <c r="C62" s="3"/>
      <c r="D62" s="3"/>
      <c r="E62" s="3"/>
      <c r="F62" s="3"/>
      <c r="G62" s="3"/>
      <c r="H62" s="3"/>
      <c r="I62" s="3"/>
      <c r="J62" s="3"/>
      <c r="K62" s="3"/>
      <c r="L62" s="3"/>
      <c r="M62" s="3"/>
      <c r="N62" s="3"/>
      <c r="O62" s="3"/>
      <c r="P62" s="3"/>
      <c r="Q62" s="3"/>
      <c r="R62" s="3"/>
    </row>
    <row r="63" spans="1:18" x14ac:dyDescent="0.25">
      <c r="A63" s="7" t="s">
        <v>196</v>
      </c>
      <c r="B63" s="3"/>
      <c r="C63" s="3"/>
      <c r="D63" s="3"/>
      <c r="E63" s="3"/>
      <c r="F63" s="3"/>
      <c r="G63" s="3"/>
      <c r="H63" s="3"/>
      <c r="I63" s="3"/>
      <c r="J63" s="3"/>
      <c r="K63" s="3"/>
      <c r="L63" s="3"/>
      <c r="M63" s="3"/>
      <c r="N63" s="3"/>
      <c r="O63" s="3"/>
      <c r="P63" s="3"/>
      <c r="Q63" s="3"/>
      <c r="R63" s="3"/>
    </row>
    <row r="64" spans="1:18" x14ac:dyDescent="0.25">
      <c r="A64" s="7" t="s">
        <v>197</v>
      </c>
      <c r="B64" s="3"/>
      <c r="C64" s="3"/>
      <c r="D64" s="3"/>
      <c r="E64" s="3"/>
      <c r="F64" s="3"/>
      <c r="G64" s="3"/>
      <c r="H64" s="3"/>
      <c r="I64" s="3"/>
      <c r="J64" s="3"/>
      <c r="K64" s="3"/>
      <c r="L64" s="3"/>
      <c r="M64" s="3"/>
      <c r="N64" s="3"/>
      <c r="O64" s="3"/>
      <c r="P64" s="3">
        <v>19.724365514987799</v>
      </c>
      <c r="Q64" s="3"/>
      <c r="R64" s="3"/>
    </row>
    <row r="65" spans="1:18" x14ac:dyDescent="0.25">
      <c r="A65" s="7" t="s">
        <v>198</v>
      </c>
      <c r="B65" s="3"/>
      <c r="C65" s="3"/>
      <c r="D65" s="3"/>
      <c r="E65" s="3"/>
      <c r="F65" s="3"/>
      <c r="G65" s="3"/>
      <c r="H65" s="3"/>
      <c r="I65" s="3"/>
      <c r="J65" s="3"/>
      <c r="K65" s="3"/>
      <c r="L65" s="3"/>
      <c r="M65" s="3"/>
      <c r="N65" s="3"/>
      <c r="O65" s="3"/>
      <c r="P65" s="3"/>
      <c r="Q65" s="3"/>
      <c r="R65" s="3"/>
    </row>
    <row r="66" spans="1:18" x14ac:dyDescent="0.25">
      <c r="A66" s="7" t="s">
        <v>199</v>
      </c>
      <c r="B66" s="3"/>
      <c r="C66" s="3"/>
      <c r="D66" s="3"/>
      <c r="E66" s="3"/>
      <c r="F66" s="3"/>
      <c r="G66" s="3"/>
      <c r="H66" s="3"/>
      <c r="I66" s="3"/>
      <c r="J66" s="3"/>
      <c r="K66" s="3"/>
      <c r="L66" s="3"/>
      <c r="M66" s="3"/>
      <c r="N66" s="3"/>
      <c r="O66" s="3"/>
      <c r="P66" s="3"/>
      <c r="Q66" s="3"/>
      <c r="R66" s="3"/>
    </row>
    <row r="67" spans="1:18" x14ac:dyDescent="0.25">
      <c r="A67" s="7" t="s">
        <v>200</v>
      </c>
      <c r="B67" s="3"/>
      <c r="C67" s="3"/>
      <c r="D67" s="3"/>
      <c r="E67" s="3">
        <v>10.3163946746979</v>
      </c>
      <c r="F67" s="3"/>
      <c r="G67" s="3"/>
      <c r="H67" s="3"/>
      <c r="I67" s="3"/>
      <c r="J67" s="3"/>
      <c r="K67" s="3"/>
      <c r="L67" s="3"/>
      <c r="M67" s="3"/>
      <c r="N67" s="3">
        <v>27.12</v>
      </c>
      <c r="O67" s="3"/>
      <c r="P67" s="3">
        <v>72</v>
      </c>
      <c r="Q67" s="3"/>
      <c r="R67" s="3"/>
    </row>
    <row r="68" spans="1:18" x14ac:dyDescent="0.25">
      <c r="A68" s="7" t="s">
        <v>201</v>
      </c>
      <c r="B68" s="3"/>
      <c r="C68" s="3"/>
      <c r="D68" s="3"/>
      <c r="E68" s="3"/>
      <c r="F68" s="3"/>
      <c r="G68" s="3"/>
      <c r="H68" s="3"/>
      <c r="I68" s="3"/>
      <c r="J68" s="3"/>
      <c r="K68" s="3"/>
      <c r="L68" s="3"/>
      <c r="M68" s="3">
        <v>29.399982277113299</v>
      </c>
      <c r="N68" s="3"/>
      <c r="O68" s="3"/>
      <c r="P68" s="3"/>
      <c r="Q68" s="3"/>
      <c r="R68" s="3"/>
    </row>
    <row r="69" spans="1:18" x14ac:dyDescent="0.25">
      <c r="A69" s="7" t="s">
        <v>202</v>
      </c>
      <c r="B69" s="3"/>
      <c r="C69" s="3"/>
      <c r="D69" s="3"/>
      <c r="E69" s="3"/>
      <c r="F69" s="3"/>
      <c r="G69" s="3"/>
      <c r="H69" s="3"/>
      <c r="I69" s="3"/>
      <c r="J69" s="3"/>
      <c r="K69" s="3"/>
      <c r="L69" s="3"/>
      <c r="M69" s="3"/>
      <c r="N69" s="3"/>
      <c r="O69" s="3"/>
      <c r="P69" s="3"/>
      <c r="Q69" s="3"/>
      <c r="R69" s="3"/>
    </row>
    <row r="70" spans="1:18" x14ac:dyDescent="0.25">
      <c r="A70" s="7" t="s">
        <v>203</v>
      </c>
      <c r="B70" s="3"/>
      <c r="C70" s="3"/>
      <c r="D70" s="3">
        <v>6.8939350866764899</v>
      </c>
      <c r="E70" s="3"/>
      <c r="F70" s="3"/>
      <c r="G70" s="3"/>
      <c r="H70" s="3"/>
      <c r="I70" s="3"/>
      <c r="J70" s="3">
        <v>19.822843198348899</v>
      </c>
      <c r="K70" s="3"/>
      <c r="L70" s="3"/>
      <c r="M70" s="3"/>
      <c r="N70" s="3">
        <v>25.1738107020876</v>
      </c>
      <c r="O70" s="3"/>
      <c r="P70" s="3"/>
      <c r="Q70" s="3"/>
      <c r="R70" s="3">
        <v>37.799999999999997</v>
      </c>
    </row>
    <row r="71" spans="1:18" x14ac:dyDescent="0.25">
      <c r="A71" s="7" t="s">
        <v>204</v>
      </c>
      <c r="B71" s="3"/>
      <c r="C71" s="3"/>
      <c r="D71" s="3"/>
      <c r="E71" s="3"/>
      <c r="F71" s="3"/>
      <c r="G71" s="3"/>
      <c r="H71" s="3"/>
      <c r="I71" s="3"/>
      <c r="J71" s="3"/>
      <c r="K71" s="3"/>
      <c r="L71" s="3"/>
      <c r="M71" s="3"/>
      <c r="N71" s="3">
        <v>38.349984717307002</v>
      </c>
      <c r="O71" s="3"/>
      <c r="P71" s="3"/>
      <c r="Q71" s="3"/>
      <c r="R71" s="3"/>
    </row>
    <row r="72" spans="1:18" x14ac:dyDescent="0.25">
      <c r="A72" s="7" t="s">
        <v>205</v>
      </c>
      <c r="B72" s="3"/>
      <c r="C72" s="3"/>
      <c r="D72" s="3"/>
      <c r="E72" s="3"/>
      <c r="F72" s="3"/>
      <c r="G72" s="3"/>
      <c r="H72" s="3"/>
      <c r="I72" s="3"/>
      <c r="J72" s="3"/>
      <c r="K72" s="3"/>
      <c r="L72" s="3"/>
      <c r="M72" s="3"/>
      <c r="N72" s="3"/>
      <c r="O72" s="3"/>
      <c r="P72" s="3"/>
      <c r="Q72" s="3"/>
      <c r="R72" s="3"/>
    </row>
    <row r="73" spans="1:18" x14ac:dyDescent="0.25">
      <c r="A73" s="7" t="s">
        <v>206</v>
      </c>
      <c r="B73" s="3"/>
      <c r="C73" s="3"/>
      <c r="D73" s="3"/>
      <c r="E73" s="3"/>
      <c r="F73" s="3"/>
      <c r="G73" s="3"/>
      <c r="H73" s="3"/>
      <c r="I73" s="3"/>
      <c r="J73" s="3"/>
      <c r="K73" s="3"/>
      <c r="L73" s="3"/>
      <c r="M73" s="3"/>
      <c r="N73" s="3"/>
      <c r="O73" s="3"/>
      <c r="P73" s="3"/>
      <c r="Q73" s="3"/>
      <c r="R73" s="3"/>
    </row>
    <row r="74" spans="1:18" x14ac:dyDescent="0.25">
      <c r="A74" s="7" t="s">
        <v>207</v>
      </c>
      <c r="B74" s="3"/>
      <c r="C74" s="3"/>
      <c r="D74" s="3"/>
      <c r="E74" s="3"/>
      <c r="F74" s="3"/>
      <c r="G74" s="3"/>
      <c r="H74" s="3"/>
      <c r="I74" s="3"/>
      <c r="J74" s="3"/>
      <c r="K74" s="3"/>
      <c r="L74" s="3"/>
      <c r="M74" s="3"/>
      <c r="N74" s="3"/>
      <c r="O74" s="3"/>
      <c r="P74" s="3"/>
      <c r="Q74" s="3"/>
      <c r="R74" s="3">
        <v>18.8351403732953</v>
      </c>
    </row>
    <row r="75" spans="1:18" x14ac:dyDescent="0.25">
      <c r="A75" s="7" t="s">
        <v>208</v>
      </c>
      <c r="B75" s="3"/>
      <c r="C75" s="3"/>
      <c r="D75" s="3"/>
      <c r="E75" s="3"/>
      <c r="F75" s="3"/>
      <c r="G75" s="3"/>
      <c r="H75" s="3"/>
      <c r="I75" s="3"/>
      <c r="J75" s="3"/>
      <c r="K75" s="3"/>
      <c r="L75" s="3"/>
      <c r="M75" s="3"/>
      <c r="N75" s="3"/>
      <c r="O75" s="3"/>
      <c r="P75" s="3"/>
      <c r="Q75" s="3"/>
      <c r="R75" s="3"/>
    </row>
    <row r="76" spans="1:18" x14ac:dyDescent="0.25">
      <c r="A76" s="7" t="s">
        <v>209</v>
      </c>
      <c r="B76" s="3"/>
      <c r="C76" s="3">
        <v>23.482276782189899</v>
      </c>
      <c r="D76" s="3"/>
      <c r="E76" s="3">
        <v>30.769789045867999</v>
      </c>
      <c r="F76" s="3"/>
      <c r="G76" s="3">
        <v>37.331527805244299</v>
      </c>
      <c r="H76" s="3"/>
      <c r="I76" s="3">
        <v>48.041162789891601</v>
      </c>
      <c r="J76" s="3">
        <v>54.7033475131229</v>
      </c>
      <c r="K76" s="3"/>
      <c r="L76" s="3">
        <v>57.935590134801302</v>
      </c>
      <c r="M76" s="3">
        <v>60.874579412751302</v>
      </c>
      <c r="N76" s="3">
        <v>63.3930930429825</v>
      </c>
      <c r="O76" s="3">
        <v>69.017539174603399</v>
      </c>
      <c r="P76" s="3"/>
      <c r="Q76" s="3"/>
      <c r="R76" s="3"/>
    </row>
    <row r="77" spans="1:18" x14ac:dyDescent="0.25">
      <c r="A77" s="7" t="s">
        <v>210</v>
      </c>
      <c r="B77" s="3"/>
      <c r="C77" s="3"/>
      <c r="D77" s="3"/>
      <c r="E77" s="3"/>
      <c r="F77" s="3"/>
      <c r="G77" s="3"/>
      <c r="H77" s="3"/>
      <c r="I77" s="3"/>
      <c r="J77" s="3"/>
      <c r="K77" s="3"/>
      <c r="L77" s="3">
        <v>9.6316994574171506</v>
      </c>
      <c r="M77" s="3"/>
      <c r="N77" s="3"/>
      <c r="O77" s="3"/>
      <c r="P77" s="3"/>
      <c r="Q77" s="3"/>
      <c r="R77" s="3"/>
    </row>
    <row r="78" spans="1:18" x14ac:dyDescent="0.25">
      <c r="A78" s="7" t="s">
        <v>211</v>
      </c>
      <c r="B78" s="3"/>
      <c r="C78" s="3"/>
      <c r="D78" s="3"/>
      <c r="E78" s="3"/>
      <c r="F78" s="3"/>
      <c r="G78" s="3"/>
      <c r="H78" s="3"/>
      <c r="I78" s="3"/>
      <c r="J78" s="3"/>
      <c r="K78" s="3"/>
      <c r="L78" s="3"/>
      <c r="M78" s="3"/>
      <c r="N78" s="3"/>
      <c r="O78" s="3"/>
      <c r="P78" s="3"/>
      <c r="Q78" s="3"/>
      <c r="R78" s="3"/>
    </row>
    <row r="79" spans="1:18" x14ac:dyDescent="0.25">
      <c r="A79" s="7" t="s">
        <v>212</v>
      </c>
      <c r="B79" s="3"/>
      <c r="C79" s="3"/>
      <c r="D79" s="3"/>
      <c r="E79" s="3"/>
      <c r="F79" s="3"/>
      <c r="G79" s="3"/>
      <c r="H79" s="3"/>
      <c r="I79" s="3">
        <v>1.85332538832755</v>
      </c>
      <c r="J79" s="3"/>
      <c r="K79" s="3"/>
      <c r="L79" s="3">
        <v>15.992467821881201</v>
      </c>
      <c r="M79" s="3"/>
      <c r="N79" s="3"/>
      <c r="O79" s="3"/>
      <c r="P79" s="3"/>
      <c r="Q79" s="3"/>
      <c r="R79" s="3"/>
    </row>
    <row r="80" spans="1:18" x14ac:dyDescent="0.25">
      <c r="A80" s="7" t="s">
        <v>213</v>
      </c>
      <c r="B80" s="3"/>
      <c r="C80" s="3"/>
      <c r="D80" s="3"/>
      <c r="E80" s="3"/>
      <c r="F80" s="3"/>
      <c r="G80" s="3"/>
      <c r="H80" s="3"/>
      <c r="I80" s="3"/>
      <c r="J80" s="3"/>
      <c r="K80" s="3"/>
      <c r="L80" s="3"/>
      <c r="M80" s="3"/>
      <c r="N80" s="3"/>
      <c r="O80" s="3"/>
      <c r="P80" s="3"/>
      <c r="Q80" s="3"/>
      <c r="R80" s="3"/>
    </row>
    <row r="81" spans="1:19" x14ac:dyDescent="0.25">
      <c r="A81" s="7" t="s">
        <v>214</v>
      </c>
      <c r="B81" s="3"/>
      <c r="C81" s="3"/>
      <c r="D81" s="3"/>
      <c r="E81" s="3"/>
      <c r="F81" s="3"/>
      <c r="G81" s="3"/>
      <c r="H81" s="3"/>
      <c r="I81" s="3"/>
      <c r="J81" s="3"/>
      <c r="K81" s="3"/>
      <c r="L81" s="3"/>
      <c r="M81" s="3"/>
      <c r="N81" s="3"/>
      <c r="O81" s="3"/>
      <c r="P81" s="3"/>
      <c r="Q81" s="3"/>
      <c r="R81" s="3"/>
    </row>
    <row r="82" spans="1:19" x14ac:dyDescent="0.25">
      <c r="A82" s="7" t="s">
        <v>215</v>
      </c>
      <c r="B82" s="3"/>
      <c r="C82" s="3"/>
      <c r="D82" s="3"/>
      <c r="E82" s="3"/>
      <c r="F82" s="3"/>
      <c r="G82" s="3"/>
      <c r="H82" s="3"/>
      <c r="I82" s="3"/>
      <c r="J82" s="3"/>
      <c r="K82" s="3"/>
      <c r="L82" s="3"/>
      <c r="M82" s="3"/>
      <c r="N82" s="3"/>
      <c r="O82" s="3"/>
      <c r="P82" s="3"/>
      <c r="Q82" s="3"/>
      <c r="R82" s="3"/>
    </row>
    <row r="83" spans="1:19" x14ac:dyDescent="0.25">
      <c r="A83" s="7" t="s">
        <v>216</v>
      </c>
      <c r="B83" s="3"/>
      <c r="C83" s="3"/>
      <c r="D83" s="3">
        <v>10.6704018160132</v>
      </c>
      <c r="E83" s="3"/>
      <c r="F83" s="3"/>
      <c r="G83" s="3"/>
      <c r="H83" s="3"/>
      <c r="I83" s="3"/>
      <c r="J83" s="3"/>
      <c r="K83" s="3"/>
      <c r="L83" s="3"/>
      <c r="M83" s="3"/>
      <c r="N83" s="3"/>
      <c r="O83" s="3"/>
      <c r="P83" s="3"/>
      <c r="Q83" s="3"/>
      <c r="R83" s="3"/>
    </row>
    <row r="84" spans="1:19" x14ac:dyDescent="0.25">
      <c r="A84" s="7" t="s">
        <v>217</v>
      </c>
      <c r="B84" s="3"/>
      <c r="C84" s="3"/>
      <c r="D84" s="3"/>
      <c r="E84" s="3"/>
      <c r="F84" s="3"/>
      <c r="G84" s="3"/>
      <c r="H84" s="3"/>
      <c r="I84" s="3"/>
      <c r="J84" s="3"/>
      <c r="K84" s="3"/>
      <c r="L84" s="3"/>
      <c r="M84" s="3"/>
      <c r="N84" s="3"/>
      <c r="O84" s="3"/>
      <c r="P84" s="3"/>
      <c r="Q84" s="3"/>
      <c r="R84" s="3"/>
    </row>
    <row r="85" spans="1:19" x14ac:dyDescent="0.25">
      <c r="A85" s="7" t="s">
        <v>218</v>
      </c>
      <c r="B85" s="3"/>
      <c r="C85" s="3"/>
      <c r="D85" s="3"/>
      <c r="E85" s="3"/>
      <c r="F85" s="3"/>
      <c r="G85" s="3"/>
      <c r="H85" s="3"/>
      <c r="I85" s="3"/>
      <c r="J85" s="3"/>
      <c r="K85" s="3"/>
      <c r="L85" s="3"/>
      <c r="M85" s="3"/>
      <c r="N85" s="3"/>
      <c r="O85" s="3"/>
      <c r="P85" s="3"/>
      <c r="Q85" s="3"/>
      <c r="R85" s="3"/>
    </row>
    <row r="86" spans="1:19" x14ac:dyDescent="0.25">
      <c r="A86" s="7" t="s">
        <v>219</v>
      </c>
      <c r="B86" s="3"/>
      <c r="C86" s="3"/>
      <c r="D86" s="3"/>
      <c r="E86" s="3"/>
      <c r="F86" s="3"/>
      <c r="G86" s="3"/>
      <c r="H86" s="3"/>
      <c r="I86" s="3"/>
      <c r="J86" s="3"/>
      <c r="K86" s="3"/>
      <c r="L86" s="3"/>
      <c r="M86" s="3"/>
      <c r="N86" s="3"/>
      <c r="O86" s="3"/>
      <c r="P86" s="3"/>
      <c r="Q86" s="3"/>
      <c r="R86" s="3"/>
    </row>
    <row r="87" spans="1:19" x14ac:dyDescent="0.25">
      <c r="A87" s="7" t="s">
        <v>220</v>
      </c>
      <c r="B87" s="3"/>
      <c r="C87" s="3"/>
      <c r="D87" s="3"/>
      <c r="E87" s="3"/>
      <c r="F87" s="3"/>
      <c r="G87" s="3"/>
      <c r="H87" s="3"/>
      <c r="I87" s="3"/>
      <c r="J87" s="3"/>
      <c r="K87" s="3"/>
      <c r="L87" s="3"/>
      <c r="M87" s="3"/>
      <c r="N87" s="3"/>
      <c r="O87" s="3"/>
      <c r="P87" s="3"/>
      <c r="Q87" s="3"/>
      <c r="R87" s="3"/>
      <c r="S87" s="3"/>
    </row>
    <row r="88" spans="1:19" x14ac:dyDescent="0.25">
      <c r="A88" s="7" t="s">
        <v>221</v>
      </c>
      <c r="B88" s="3"/>
      <c r="C88" s="3"/>
      <c r="D88" s="3"/>
      <c r="E88" s="3"/>
      <c r="F88" s="3"/>
      <c r="G88" s="3"/>
      <c r="H88" s="3"/>
      <c r="I88" s="3"/>
      <c r="J88" s="3"/>
      <c r="K88" s="3">
        <v>19</v>
      </c>
      <c r="L88" s="3"/>
      <c r="M88" s="3"/>
      <c r="N88" s="3"/>
      <c r="O88" s="3"/>
      <c r="P88" s="3"/>
      <c r="Q88" s="3"/>
      <c r="R88" s="3"/>
      <c r="S88" s="3"/>
    </row>
    <row r="89" spans="1:19" x14ac:dyDescent="0.25">
      <c r="A89" s="7" t="s">
        <v>222</v>
      </c>
      <c r="B89" s="3"/>
      <c r="C89" s="3"/>
      <c r="D89" s="3"/>
      <c r="E89" s="3"/>
      <c r="F89" s="3"/>
      <c r="G89" s="3"/>
      <c r="H89" s="3"/>
      <c r="I89" s="3"/>
      <c r="J89" s="3"/>
      <c r="K89" s="3"/>
      <c r="L89" s="3">
        <v>16.309974082510099</v>
      </c>
      <c r="M89" s="3"/>
      <c r="N89" s="3"/>
      <c r="O89" s="3"/>
      <c r="P89" s="3"/>
      <c r="Q89" s="3"/>
      <c r="R89" s="3"/>
      <c r="S89" s="3"/>
    </row>
    <row r="90" spans="1:19" x14ac:dyDescent="0.25">
      <c r="A90" s="7" t="s">
        <v>223</v>
      </c>
      <c r="B90" s="3"/>
      <c r="C90" s="3"/>
      <c r="D90" s="3"/>
      <c r="E90" s="3"/>
      <c r="F90" s="3"/>
      <c r="G90" s="3"/>
      <c r="H90" s="3"/>
      <c r="I90" s="3"/>
      <c r="J90" s="3"/>
      <c r="K90" s="3"/>
      <c r="L90" s="3"/>
      <c r="M90" s="3"/>
      <c r="N90" s="3"/>
      <c r="O90" s="3">
        <v>7.5</v>
      </c>
      <c r="P90" s="3"/>
      <c r="Q90" s="3"/>
      <c r="R90" s="3"/>
      <c r="S90" s="3"/>
    </row>
    <row r="91" spans="1:19" x14ac:dyDescent="0.25">
      <c r="A91" s="7" t="s">
        <v>224</v>
      </c>
      <c r="B91" s="3"/>
      <c r="C91" s="3"/>
      <c r="D91" s="3"/>
      <c r="E91" s="3"/>
      <c r="F91" s="3"/>
      <c r="G91" s="3"/>
      <c r="H91" s="3"/>
      <c r="I91" s="3"/>
      <c r="J91" s="3"/>
      <c r="K91" s="3"/>
      <c r="L91" s="3"/>
      <c r="M91" s="3">
        <v>15.521456844051199</v>
      </c>
      <c r="N91" s="3"/>
      <c r="O91" s="3"/>
      <c r="P91" s="3"/>
      <c r="Q91" s="3"/>
      <c r="R91" s="3"/>
      <c r="S91" s="3"/>
    </row>
    <row r="92" spans="1:19" x14ac:dyDescent="0.25">
      <c r="A92" s="7" t="s">
        <v>225</v>
      </c>
      <c r="B92" s="3"/>
      <c r="C92" s="3"/>
      <c r="D92" s="3"/>
      <c r="E92" s="3"/>
      <c r="F92" s="3"/>
      <c r="G92" s="3"/>
      <c r="H92" s="3"/>
      <c r="I92" s="3">
        <v>18.301641483946099</v>
      </c>
      <c r="J92" s="3"/>
      <c r="K92" s="3"/>
      <c r="L92" s="3"/>
      <c r="M92" s="3"/>
      <c r="N92" s="3"/>
      <c r="O92" s="3">
        <v>28.8778924431668</v>
      </c>
      <c r="P92" s="3"/>
      <c r="Q92" s="3"/>
      <c r="R92" s="3"/>
      <c r="S92" s="3"/>
    </row>
    <row r="93" spans="1:19" x14ac:dyDescent="0.25">
      <c r="B93" s="3"/>
      <c r="C93" s="3"/>
      <c r="D93" s="3"/>
      <c r="E93" s="3"/>
      <c r="F93" s="3"/>
      <c r="G93" s="3"/>
      <c r="H93" s="3"/>
      <c r="I93" s="3"/>
      <c r="J93" s="3"/>
      <c r="K93" s="3"/>
      <c r="L93" s="3"/>
      <c r="M93" s="3"/>
      <c r="N93" s="3"/>
      <c r="O93" s="3"/>
      <c r="P93" s="3"/>
      <c r="Q93" s="3"/>
      <c r="R93" s="3"/>
      <c r="S93" s="3"/>
    </row>
    <row r="94" spans="1:19" x14ac:dyDescent="0.25">
      <c r="A94" t="s">
        <v>23</v>
      </c>
      <c r="B94" s="3"/>
      <c r="C94" s="3"/>
      <c r="D94" s="3"/>
      <c r="E94" s="3"/>
      <c r="F94" s="3"/>
      <c r="G94" s="3"/>
      <c r="H94" s="3"/>
      <c r="I94" s="3"/>
      <c r="J94" s="3"/>
      <c r="K94" s="3"/>
      <c r="L94" s="3"/>
      <c r="M94" s="3"/>
      <c r="N94" s="3"/>
      <c r="O94" s="3"/>
      <c r="P94" s="3"/>
      <c r="Q94" s="3"/>
      <c r="R94" s="3"/>
      <c r="S94" s="3"/>
    </row>
    <row r="95" spans="1:19" x14ac:dyDescent="0.25">
      <c r="B95" s="3"/>
      <c r="C95" s="3"/>
      <c r="D95" s="3"/>
      <c r="E95" s="3"/>
      <c r="F95" s="3"/>
      <c r="G95" s="3"/>
      <c r="H95" s="3"/>
      <c r="I95" s="3"/>
      <c r="J95" s="3"/>
      <c r="K95" s="3"/>
      <c r="L95" s="3"/>
      <c r="M95" s="3"/>
      <c r="N95" s="3"/>
      <c r="O95" s="3"/>
      <c r="P95" s="3"/>
      <c r="Q95" s="3"/>
      <c r="R95" s="3"/>
      <c r="S95" s="3"/>
    </row>
  </sheetData>
  <hyperlinks>
    <hyperlink ref="S1" location="Contents!A1" display="Return to Contents" xr:uid="{A894C241-0F87-4E1A-BB1D-D643DCC3386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F863-3A61-49A3-85ED-55E7BB363450}">
  <sheetPr codeName="Sheet5"/>
  <dimension ref="A1:Y207"/>
  <sheetViews>
    <sheetView workbookViewId="0"/>
  </sheetViews>
  <sheetFormatPr defaultRowHeight="15" x14ac:dyDescent="0.25"/>
  <cols>
    <col min="1" max="1" width="28.140625" customWidth="1"/>
  </cols>
  <sheetData>
    <row r="1" spans="1:25" x14ac:dyDescent="0.25">
      <c r="A1" s="1" t="s">
        <v>30</v>
      </c>
      <c r="R1" s="34" t="s">
        <v>17</v>
      </c>
    </row>
    <row r="3" spans="1:25" x14ac:dyDescent="0.25">
      <c r="A3" s="6"/>
      <c r="B3" s="6">
        <v>2007</v>
      </c>
      <c r="C3" s="6">
        <v>2008</v>
      </c>
      <c r="D3" s="6">
        <v>2009</v>
      </c>
      <c r="E3" s="6">
        <v>2010</v>
      </c>
      <c r="F3" s="6">
        <v>2011</v>
      </c>
      <c r="G3" s="6">
        <v>2012</v>
      </c>
      <c r="H3" s="6">
        <v>2013</v>
      </c>
      <c r="I3" s="6">
        <v>2014</v>
      </c>
      <c r="J3" s="6">
        <v>2015</v>
      </c>
      <c r="K3" s="6">
        <v>2016</v>
      </c>
      <c r="L3" s="6">
        <v>2017</v>
      </c>
      <c r="M3" s="6">
        <v>2018</v>
      </c>
      <c r="N3" s="6">
        <v>2019</v>
      </c>
      <c r="O3" s="6">
        <v>2020</v>
      </c>
      <c r="P3" s="6">
        <v>2021</v>
      </c>
      <c r="Q3" s="6">
        <v>2022</v>
      </c>
      <c r="R3" s="6">
        <v>2023</v>
      </c>
    </row>
    <row r="4" spans="1:25" x14ac:dyDescent="0.25">
      <c r="A4" s="9" t="s">
        <v>163</v>
      </c>
      <c r="B4" s="11"/>
      <c r="C4" s="11"/>
      <c r="D4" s="11"/>
      <c r="E4" s="11"/>
      <c r="F4" s="11"/>
      <c r="G4" s="11"/>
      <c r="H4" s="11"/>
      <c r="I4" s="11"/>
      <c r="J4" s="11"/>
      <c r="K4" s="11"/>
      <c r="L4" s="11"/>
      <c r="M4" s="11"/>
      <c r="N4" s="11"/>
      <c r="O4" s="11"/>
      <c r="P4" s="11"/>
      <c r="Q4" s="11"/>
      <c r="R4" s="11"/>
      <c r="S4" s="3"/>
      <c r="T4" s="3"/>
      <c r="U4" s="3"/>
      <c r="V4" s="3"/>
      <c r="W4" s="3"/>
      <c r="X4" s="3"/>
      <c r="Y4" s="3"/>
    </row>
    <row r="5" spans="1:25" x14ac:dyDescent="0.25">
      <c r="A5" s="7" t="s">
        <v>183</v>
      </c>
      <c r="B5" s="3"/>
      <c r="C5" s="3"/>
      <c r="D5" s="3"/>
      <c r="E5" s="3"/>
      <c r="F5" s="3"/>
      <c r="G5" s="3"/>
      <c r="H5" s="3"/>
      <c r="I5" s="3"/>
      <c r="J5" s="3"/>
      <c r="K5" s="3"/>
      <c r="L5" s="3"/>
      <c r="M5" s="3"/>
      <c r="N5" s="3"/>
      <c r="O5" s="3"/>
      <c r="P5" s="3"/>
      <c r="Q5" s="3"/>
      <c r="R5" s="3"/>
      <c r="S5" s="3"/>
      <c r="T5" s="3"/>
      <c r="U5" s="3"/>
      <c r="V5" s="3"/>
      <c r="W5" s="3"/>
      <c r="X5" s="3"/>
      <c r="Y5" s="3"/>
    </row>
    <row r="6" spans="1:25" x14ac:dyDescent="0.25">
      <c r="A6" s="7" t="s">
        <v>184</v>
      </c>
      <c r="B6" s="3"/>
      <c r="C6" s="3"/>
      <c r="D6" s="3"/>
      <c r="E6" s="3"/>
      <c r="F6" s="3"/>
      <c r="G6" s="3"/>
      <c r="H6" s="3"/>
      <c r="I6" s="3"/>
      <c r="J6" s="3"/>
      <c r="K6" s="3"/>
      <c r="L6" s="3"/>
      <c r="M6" s="3"/>
      <c r="N6" s="3"/>
      <c r="O6" s="3"/>
      <c r="P6" s="3"/>
      <c r="Q6" s="3"/>
      <c r="R6" s="3"/>
      <c r="S6" s="3"/>
      <c r="T6" s="3"/>
      <c r="U6" s="3"/>
      <c r="V6" s="3"/>
      <c r="W6" s="3"/>
      <c r="X6" s="3"/>
      <c r="Y6" s="3"/>
    </row>
    <row r="7" spans="1:25" x14ac:dyDescent="0.25">
      <c r="A7" s="7" t="s">
        <v>185</v>
      </c>
      <c r="B7" s="3"/>
      <c r="C7" s="3"/>
      <c r="D7" s="3"/>
      <c r="E7" s="3"/>
      <c r="F7" s="3"/>
      <c r="G7" s="3"/>
      <c r="H7" s="3"/>
      <c r="I7" s="3">
        <v>16.842261857324299</v>
      </c>
      <c r="J7" s="3"/>
      <c r="K7" s="3"/>
      <c r="L7" s="3"/>
      <c r="M7" s="3"/>
      <c r="N7" s="3"/>
      <c r="O7" s="3"/>
      <c r="P7" s="3"/>
      <c r="Q7" s="3"/>
      <c r="R7" s="3"/>
      <c r="S7" s="3"/>
      <c r="T7" s="3"/>
      <c r="U7" s="3"/>
      <c r="V7" s="3"/>
      <c r="W7" s="3"/>
      <c r="X7" s="3"/>
      <c r="Y7" s="3"/>
    </row>
    <row r="8" spans="1:25" x14ac:dyDescent="0.25">
      <c r="A8" s="7" t="s">
        <v>186</v>
      </c>
      <c r="B8" s="3"/>
      <c r="C8" s="3"/>
      <c r="D8" s="3"/>
      <c r="E8" s="3"/>
      <c r="F8" s="3"/>
      <c r="G8" s="3"/>
      <c r="H8" s="3"/>
      <c r="I8" s="3"/>
      <c r="J8" s="3"/>
      <c r="K8" s="3"/>
      <c r="L8" s="3"/>
      <c r="M8" s="3"/>
      <c r="N8" s="3"/>
      <c r="O8" s="3"/>
      <c r="P8" s="3"/>
      <c r="Q8" s="3"/>
      <c r="R8" s="3"/>
      <c r="S8" s="3"/>
      <c r="T8" s="3"/>
      <c r="U8" s="3"/>
      <c r="V8" s="3"/>
      <c r="W8" s="3"/>
      <c r="X8" s="3"/>
      <c r="Y8" s="3"/>
    </row>
    <row r="9" spans="1:25" x14ac:dyDescent="0.25">
      <c r="A9" s="7" t="s">
        <v>187</v>
      </c>
      <c r="B9" s="3"/>
      <c r="C9" s="3"/>
      <c r="D9" s="3"/>
      <c r="E9" s="3"/>
      <c r="F9" s="3"/>
      <c r="G9" s="3"/>
      <c r="H9" s="3"/>
      <c r="I9" s="3"/>
      <c r="J9" s="3"/>
      <c r="K9" s="3"/>
      <c r="L9" s="3"/>
      <c r="M9" s="3"/>
      <c r="N9" s="3"/>
      <c r="O9" s="3"/>
      <c r="P9" s="3"/>
      <c r="Q9" s="3"/>
      <c r="R9" s="3"/>
      <c r="S9" s="3"/>
      <c r="T9" s="3"/>
      <c r="U9" s="3"/>
      <c r="V9" s="3"/>
      <c r="W9" s="3"/>
      <c r="X9" s="3"/>
      <c r="Y9" s="3"/>
    </row>
    <row r="10" spans="1:25" x14ac:dyDescent="0.25">
      <c r="A10" s="7" t="s">
        <v>189</v>
      </c>
      <c r="B10" s="3"/>
      <c r="C10" s="3"/>
      <c r="D10" s="3"/>
      <c r="E10" s="3"/>
      <c r="F10" s="3"/>
      <c r="G10" s="3"/>
      <c r="H10" s="3"/>
      <c r="I10" s="3"/>
      <c r="J10" s="3"/>
      <c r="K10" s="3">
        <v>30.233062544364699</v>
      </c>
      <c r="L10" s="3"/>
      <c r="M10" s="3"/>
      <c r="N10" s="3">
        <v>31.4776873086685</v>
      </c>
      <c r="O10" s="3"/>
      <c r="P10" s="3"/>
      <c r="Q10" s="3"/>
      <c r="R10" s="3"/>
      <c r="S10" s="3"/>
      <c r="T10" s="3"/>
      <c r="U10" s="3"/>
      <c r="V10" s="3"/>
      <c r="W10" s="3"/>
      <c r="X10" s="3"/>
      <c r="Y10" s="3"/>
    </row>
    <row r="11" spans="1:25" x14ac:dyDescent="0.25">
      <c r="A11" s="7" t="s">
        <v>188</v>
      </c>
      <c r="B11" s="3"/>
      <c r="C11" s="3"/>
      <c r="D11" s="3"/>
      <c r="E11" s="3"/>
      <c r="F11" s="3"/>
      <c r="G11" s="3"/>
      <c r="H11" s="3"/>
      <c r="I11" s="3"/>
      <c r="J11" s="3"/>
      <c r="K11" s="3"/>
      <c r="L11" s="3"/>
      <c r="M11" s="3"/>
      <c r="N11" s="3"/>
      <c r="O11" s="3"/>
      <c r="P11" s="3"/>
      <c r="Q11" s="3"/>
      <c r="R11" s="3"/>
      <c r="S11" s="3"/>
      <c r="T11" s="3"/>
      <c r="U11" s="3"/>
      <c r="V11" s="3"/>
      <c r="W11" s="3"/>
      <c r="X11" s="3"/>
      <c r="Y11" s="3"/>
    </row>
    <row r="12" spans="1:25" x14ac:dyDescent="0.25">
      <c r="A12" s="7" t="s">
        <v>190</v>
      </c>
      <c r="B12" s="3"/>
      <c r="C12" s="3"/>
      <c r="D12" s="3"/>
      <c r="E12" s="3"/>
      <c r="F12" s="3"/>
      <c r="G12" s="3"/>
      <c r="H12" s="3"/>
      <c r="I12" s="3"/>
      <c r="J12" s="3"/>
      <c r="K12" s="3"/>
      <c r="L12" s="3"/>
      <c r="M12" s="3"/>
      <c r="N12" s="3"/>
      <c r="O12" s="3"/>
      <c r="P12" s="3"/>
      <c r="Q12" s="3"/>
      <c r="R12" s="3"/>
      <c r="S12" s="3"/>
      <c r="T12" s="3"/>
      <c r="U12" s="3"/>
      <c r="V12" s="3"/>
      <c r="W12" s="3"/>
      <c r="X12" s="3"/>
      <c r="Y12" s="3"/>
    </row>
    <row r="13" spans="1:25" x14ac:dyDescent="0.25">
      <c r="A13" s="7" t="s">
        <v>191</v>
      </c>
      <c r="B13" s="3"/>
      <c r="C13" s="3"/>
      <c r="D13" s="3"/>
      <c r="E13" s="3"/>
      <c r="F13" s="3"/>
      <c r="G13" s="3"/>
      <c r="H13" s="3"/>
      <c r="I13" s="3"/>
      <c r="J13" s="3"/>
      <c r="K13" s="3"/>
      <c r="L13" s="3"/>
      <c r="M13" s="3"/>
      <c r="N13" s="3"/>
      <c r="O13" s="3"/>
      <c r="P13" s="3"/>
      <c r="Q13" s="3"/>
      <c r="R13" s="3"/>
      <c r="S13" s="3"/>
      <c r="T13" s="3"/>
      <c r="U13" s="3"/>
      <c r="V13" s="3"/>
      <c r="W13" s="3"/>
      <c r="X13" s="3"/>
      <c r="Y13" s="3"/>
    </row>
    <row r="14" spans="1:25" x14ac:dyDescent="0.25">
      <c r="A14" s="7" t="s">
        <v>192</v>
      </c>
      <c r="B14" s="3"/>
      <c r="C14" s="3"/>
      <c r="D14" s="3"/>
      <c r="E14" s="3"/>
      <c r="F14" s="3"/>
      <c r="G14" s="3"/>
      <c r="H14" s="3"/>
      <c r="I14" s="3"/>
      <c r="J14" s="3"/>
      <c r="K14" s="3"/>
      <c r="L14" s="3"/>
      <c r="M14" s="3"/>
      <c r="N14" s="3"/>
      <c r="O14" s="3"/>
      <c r="P14" s="3"/>
      <c r="Q14" s="3"/>
      <c r="R14" s="3"/>
      <c r="S14" s="3"/>
      <c r="T14" s="3"/>
      <c r="U14" s="3"/>
      <c r="V14" s="3"/>
      <c r="W14" s="3"/>
      <c r="X14" s="3"/>
      <c r="Y14" s="3"/>
    </row>
    <row r="15" spans="1:25" x14ac:dyDescent="0.25">
      <c r="A15" s="7" t="s">
        <v>193</v>
      </c>
      <c r="B15" s="3"/>
      <c r="C15" s="3"/>
      <c r="D15" s="3"/>
      <c r="E15" s="3"/>
      <c r="F15" s="3"/>
      <c r="G15" s="3"/>
      <c r="H15" s="3"/>
      <c r="I15" s="3"/>
      <c r="J15" s="3"/>
      <c r="K15" s="3"/>
      <c r="L15" s="3"/>
      <c r="M15" s="3"/>
      <c r="N15" s="3">
        <v>25.027846483215399</v>
      </c>
      <c r="O15" s="3"/>
      <c r="P15" s="3"/>
      <c r="Q15" s="3">
        <v>5.4940584024935397</v>
      </c>
      <c r="R15" s="3">
        <v>3.9706174632087201</v>
      </c>
      <c r="S15" s="3"/>
      <c r="T15" s="3"/>
      <c r="U15" s="3"/>
      <c r="V15" s="3"/>
      <c r="W15" s="3"/>
      <c r="X15" s="3"/>
      <c r="Y15" s="3"/>
    </row>
    <row r="16" spans="1:25" x14ac:dyDescent="0.25">
      <c r="A16" s="7" t="s">
        <v>249</v>
      </c>
      <c r="B16" s="3"/>
      <c r="C16" s="3"/>
      <c r="D16" s="3"/>
      <c r="E16" s="3"/>
      <c r="F16" s="3"/>
      <c r="G16" s="3"/>
      <c r="H16" s="3"/>
      <c r="I16" s="3"/>
      <c r="J16" s="3"/>
      <c r="K16" s="3"/>
      <c r="L16" s="3"/>
      <c r="M16" s="3"/>
      <c r="N16" s="3"/>
      <c r="O16" s="3"/>
      <c r="P16" s="3"/>
      <c r="Q16" s="3"/>
      <c r="R16" s="3"/>
      <c r="S16" s="3"/>
      <c r="T16" s="3"/>
      <c r="U16" s="3"/>
      <c r="V16" s="3"/>
      <c r="W16" s="3"/>
      <c r="X16" s="3"/>
      <c r="Y16" s="3"/>
    </row>
    <row r="17" spans="1:25" x14ac:dyDescent="0.25">
      <c r="A17" s="7" t="s">
        <v>194</v>
      </c>
      <c r="B17" s="3"/>
      <c r="C17" s="3"/>
      <c r="D17" s="3"/>
      <c r="E17" s="3"/>
      <c r="F17" s="3"/>
      <c r="G17" s="3"/>
      <c r="H17" s="3"/>
      <c r="I17" s="3"/>
      <c r="J17" s="3"/>
      <c r="K17" s="3"/>
      <c r="L17" s="3"/>
      <c r="M17" s="3"/>
      <c r="N17" s="3"/>
      <c r="O17" s="3"/>
      <c r="P17" s="3"/>
      <c r="Q17" s="3"/>
      <c r="R17" s="3"/>
      <c r="S17" s="3"/>
      <c r="T17" s="3"/>
      <c r="U17" s="3"/>
      <c r="V17" s="3"/>
      <c r="W17" s="3"/>
      <c r="X17" s="3"/>
      <c r="Y17" s="3"/>
    </row>
    <row r="18" spans="1:25" x14ac:dyDescent="0.25">
      <c r="A18" s="7" t="s">
        <v>195</v>
      </c>
      <c r="B18" s="3"/>
      <c r="C18" s="3"/>
      <c r="D18" s="3"/>
      <c r="E18" s="3"/>
      <c r="F18" s="3"/>
      <c r="G18" s="3"/>
      <c r="H18" s="3"/>
      <c r="I18" s="3"/>
      <c r="J18" s="3"/>
      <c r="K18" s="3"/>
      <c r="L18" s="3"/>
      <c r="M18" s="3"/>
      <c r="N18" s="3"/>
      <c r="O18" s="3"/>
      <c r="P18" s="3"/>
      <c r="Q18" s="3"/>
      <c r="R18" s="3"/>
      <c r="S18" s="3"/>
      <c r="T18" s="3"/>
      <c r="U18" s="3"/>
      <c r="V18" s="3"/>
      <c r="W18" s="3"/>
      <c r="X18" s="3"/>
      <c r="Y18" s="3"/>
    </row>
    <row r="19" spans="1:25" x14ac:dyDescent="0.25">
      <c r="A19" s="7" t="s">
        <v>196</v>
      </c>
      <c r="B19" s="3"/>
      <c r="C19" s="3"/>
      <c r="D19" s="3"/>
      <c r="E19" s="3"/>
      <c r="F19" s="3"/>
      <c r="G19" s="3"/>
      <c r="H19" s="3"/>
      <c r="I19" s="3"/>
      <c r="J19" s="3"/>
      <c r="K19" s="3"/>
      <c r="L19" s="3"/>
      <c r="M19" s="3"/>
      <c r="N19" s="3"/>
      <c r="O19" s="3"/>
      <c r="P19" s="3"/>
      <c r="Q19" s="3"/>
      <c r="R19" s="3"/>
      <c r="S19" s="3"/>
      <c r="T19" s="3"/>
      <c r="U19" s="3"/>
      <c r="V19" s="3"/>
      <c r="W19" s="3"/>
      <c r="X19" s="3"/>
      <c r="Y19" s="3"/>
    </row>
    <row r="20" spans="1:25" x14ac:dyDescent="0.25">
      <c r="A20" s="7" t="s">
        <v>197</v>
      </c>
      <c r="B20" s="3"/>
      <c r="C20" s="3"/>
      <c r="D20" s="3"/>
      <c r="E20" s="3"/>
      <c r="F20" s="3"/>
      <c r="G20" s="3"/>
      <c r="H20" s="3"/>
      <c r="I20" s="3"/>
      <c r="J20" s="3"/>
      <c r="K20" s="3"/>
      <c r="L20" s="3"/>
      <c r="M20" s="3"/>
      <c r="N20" s="3"/>
      <c r="O20" s="3"/>
      <c r="P20" s="3"/>
      <c r="Q20" s="3"/>
      <c r="R20" s="3"/>
      <c r="S20" s="3"/>
      <c r="T20" s="3"/>
      <c r="U20" s="3"/>
      <c r="V20" s="3"/>
      <c r="W20" s="3"/>
      <c r="X20" s="3"/>
      <c r="Y20" s="3"/>
    </row>
    <row r="21" spans="1:25" x14ac:dyDescent="0.25">
      <c r="A21" s="7" t="s">
        <v>198</v>
      </c>
      <c r="B21" s="3"/>
      <c r="C21" s="3"/>
      <c r="D21" s="3"/>
      <c r="E21" s="3"/>
      <c r="F21" s="3"/>
      <c r="G21" s="3"/>
      <c r="H21" s="3"/>
      <c r="I21" s="3"/>
      <c r="J21" s="3"/>
      <c r="K21" s="3"/>
      <c r="L21" s="3"/>
      <c r="M21" s="3"/>
      <c r="N21" s="3"/>
      <c r="O21" s="3"/>
      <c r="P21" s="3"/>
      <c r="Q21" s="3"/>
      <c r="R21" s="3"/>
      <c r="S21" s="3"/>
      <c r="T21" s="3"/>
      <c r="U21" s="3"/>
      <c r="V21" s="3"/>
      <c r="W21" s="3"/>
      <c r="X21" s="3"/>
      <c r="Y21" s="3"/>
    </row>
    <row r="22" spans="1:25" x14ac:dyDescent="0.25">
      <c r="A22" s="7" t="s">
        <v>199</v>
      </c>
      <c r="B22" s="3"/>
      <c r="C22" s="3"/>
      <c r="D22" s="3"/>
      <c r="E22" s="3"/>
      <c r="F22" s="3"/>
      <c r="G22" s="3"/>
      <c r="H22" s="3"/>
      <c r="I22" s="3"/>
      <c r="J22" s="3"/>
      <c r="K22" s="3"/>
      <c r="L22" s="3"/>
      <c r="M22" s="3"/>
      <c r="N22" s="3"/>
      <c r="O22" s="3"/>
      <c r="P22" s="3"/>
      <c r="Q22" s="3"/>
      <c r="R22" s="3"/>
      <c r="S22" s="3"/>
      <c r="T22" s="3"/>
      <c r="U22" s="3"/>
      <c r="V22" s="3"/>
      <c r="W22" s="3"/>
      <c r="X22" s="3"/>
      <c r="Y22" s="3"/>
    </row>
    <row r="23" spans="1:25" x14ac:dyDescent="0.25">
      <c r="A23" s="7" t="s">
        <v>200</v>
      </c>
      <c r="B23" s="3"/>
      <c r="C23" s="3"/>
      <c r="D23" s="3"/>
      <c r="E23" s="3"/>
      <c r="F23" s="3"/>
      <c r="G23" s="3"/>
      <c r="H23" s="3"/>
      <c r="I23" s="3"/>
      <c r="J23" s="3"/>
      <c r="K23" s="3"/>
      <c r="L23" s="3"/>
      <c r="M23" s="3"/>
      <c r="N23" s="3"/>
      <c r="O23" s="3"/>
      <c r="P23" s="3"/>
      <c r="Q23" s="3"/>
      <c r="R23" s="3"/>
      <c r="S23" s="3"/>
      <c r="T23" s="3"/>
      <c r="U23" s="3"/>
      <c r="V23" s="3"/>
      <c r="W23" s="3"/>
      <c r="X23" s="3"/>
      <c r="Y23" s="3"/>
    </row>
    <row r="24" spans="1:25" x14ac:dyDescent="0.25">
      <c r="A24" s="7" t="s">
        <v>201</v>
      </c>
      <c r="B24" s="3"/>
      <c r="C24" s="3"/>
      <c r="D24" s="3"/>
      <c r="E24" s="3"/>
      <c r="F24" s="3"/>
      <c r="G24" s="3"/>
      <c r="H24" s="3"/>
      <c r="I24" s="3"/>
      <c r="J24" s="3"/>
      <c r="K24" s="3"/>
      <c r="L24" s="3"/>
      <c r="M24" s="3"/>
      <c r="N24" s="3"/>
      <c r="O24" s="3"/>
      <c r="P24" s="3"/>
      <c r="Q24" s="3"/>
      <c r="R24" s="3"/>
      <c r="S24" s="3"/>
      <c r="T24" s="3"/>
      <c r="U24" s="3"/>
      <c r="V24" s="3"/>
      <c r="W24" s="3"/>
      <c r="X24" s="3"/>
      <c r="Y24" s="3"/>
    </row>
    <row r="25" spans="1:25" x14ac:dyDescent="0.25">
      <c r="A25" s="7" t="s">
        <v>202</v>
      </c>
      <c r="B25" s="3"/>
      <c r="C25" s="3"/>
      <c r="D25" s="3"/>
      <c r="E25" s="3"/>
      <c r="F25" s="3"/>
      <c r="G25" s="3"/>
      <c r="H25" s="3"/>
      <c r="I25" s="3"/>
      <c r="J25" s="3"/>
      <c r="K25" s="3"/>
      <c r="L25" s="3"/>
      <c r="M25" s="3"/>
      <c r="N25" s="3"/>
      <c r="O25" s="3"/>
      <c r="P25" s="3"/>
      <c r="Q25" s="3"/>
      <c r="R25" s="3"/>
      <c r="S25" s="3"/>
      <c r="T25" s="3"/>
      <c r="U25" s="3"/>
      <c r="V25" s="3"/>
      <c r="W25" s="3"/>
      <c r="X25" s="3"/>
      <c r="Y25" s="3"/>
    </row>
    <row r="26" spans="1:25" x14ac:dyDescent="0.25">
      <c r="A26" s="7" t="s">
        <v>203</v>
      </c>
      <c r="B26" s="3"/>
      <c r="C26" s="3"/>
      <c r="D26" s="3"/>
      <c r="E26" s="3"/>
      <c r="F26" s="3"/>
      <c r="G26" s="3"/>
      <c r="H26" s="3"/>
      <c r="I26" s="3"/>
      <c r="J26" s="3">
        <v>1.31082651525615</v>
      </c>
      <c r="K26" s="3"/>
      <c r="L26" s="3"/>
      <c r="M26" s="3"/>
      <c r="N26" s="3">
        <v>2.5613832433833901</v>
      </c>
      <c r="O26" s="3"/>
      <c r="P26" s="3"/>
      <c r="Q26" s="3"/>
      <c r="R26" s="3"/>
      <c r="S26" s="3"/>
      <c r="T26" s="3"/>
      <c r="U26" s="3"/>
      <c r="V26" s="3"/>
      <c r="W26" s="3"/>
      <c r="X26" s="3"/>
      <c r="Y26" s="3"/>
    </row>
    <row r="27" spans="1:25" x14ac:dyDescent="0.25">
      <c r="A27" s="7" t="s">
        <v>204</v>
      </c>
      <c r="B27" s="3"/>
      <c r="C27" s="3"/>
      <c r="D27" s="3"/>
      <c r="E27" s="3"/>
      <c r="F27" s="3"/>
      <c r="G27" s="3"/>
      <c r="H27" s="3"/>
      <c r="I27" s="3"/>
      <c r="J27" s="3"/>
      <c r="K27" s="3"/>
      <c r="L27" s="3"/>
      <c r="M27" s="3"/>
      <c r="N27" s="3"/>
      <c r="O27" s="3"/>
      <c r="P27" s="3"/>
      <c r="Q27" s="3"/>
      <c r="R27" s="3"/>
      <c r="S27" s="3"/>
      <c r="T27" s="3"/>
      <c r="U27" s="3"/>
      <c r="V27" s="3"/>
      <c r="W27" s="3"/>
      <c r="X27" s="3"/>
      <c r="Y27" s="3"/>
    </row>
    <row r="28" spans="1:25" x14ac:dyDescent="0.25">
      <c r="A28" s="7" t="s">
        <v>205</v>
      </c>
      <c r="B28" s="3"/>
      <c r="C28" s="3"/>
      <c r="D28" s="3"/>
      <c r="E28" s="3"/>
      <c r="F28" s="3"/>
      <c r="G28" s="3"/>
      <c r="H28" s="3"/>
      <c r="I28" s="3"/>
      <c r="J28" s="3"/>
      <c r="K28" s="3"/>
      <c r="L28" s="3"/>
      <c r="M28" s="3"/>
      <c r="N28" s="3"/>
      <c r="O28" s="3"/>
      <c r="P28" s="3"/>
      <c r="Q28" s="3"/>
      <c r="R28" s="3"/>
      <c r="S28" s="3"/>
      <c r="T28" s="3"/>
      <c r="U28" s="3"/>
      <c r="V28" s="3"/>
      <c r="W28" s="3"/>
      <c r="X28" s="3"/>
      <c r="Y28" s="3"/>
    </row>
    <row r="29" spans="1:25" x14ac:dyDescent="0.25">
      <c r="A29" s="7" t="s">
        <v>206</v>
      </c>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A30" s="7" t="s">
        <v>207</v>
      </c>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A31" s="7" t="s">
        <v>208</v>
      </c>
      <c r="B31" s="3"/>
      <c r="C31" s="3"/>
      <c r="D31" s="3"/>
      <c r="E31" s="3"/>
      <c r="F31" s="3"/>
      <c r="G31" s="3"/>
      <c r="H31" s="3"/>
      <c r="I31" s="3"/>
      <c r="J31" s="3"/>
      <c r="K31" s="3"/>
      <c r="L31" s="3"/>
      <c r="M31" s="3"/>
      <c r="N31" s="3"/>
      <c r="O31" s="3"/>
      <c r="P31" s="3"/>
      <c r="Q31" s="3"/>
      <c r="R31" s="3"/>
      <c r="S31" s="3"/>
      <c r="T31" s="3"/>
      <c r="U31" s="3"/>
      <c r="V31" s="3"/>
      <c r="W31" s="3"/>
      <c r="X31" s="3"/>
      <c r="Y31" s="3"/>
    </row>
    <row r="32" spans="1:25" x14ac:dyDescent="0.25">
      <c r="A32" s="7" t="s">
        <v>209</v>
      </c>
      <c r="B32" s="3"/>
      <c r="C32" s="3">
        <v>34.9065721649485</v>
      </c>
      <c r="D32" s="3"/>
      <c r="E32" s="3">
        <v>23.874188511792301</v>
      </c>
      <c r="F32" s="3"/>
      <c r="G32" s="3">
        <v>30.5736544253967</v>
      </c>
      <c r="H32" s="3"/>
      <c r="I32" s="3">
        <v>45.3566529492455</v>
      </c>
      <c r="J32" s="3"/>
      <c r="K32" s="3"/>
      <c r="L32" s="3"/>
      <c r="M32" s="3">
        <v>61.997374084976499</v>
      </c>
      <c r="N32" s="3"/>
      <c r="O32" s="3">
        <v>68.983310649206501</v>
      </c>
      <c r="P32" s="3"/>
      <c r="Q32" s="3"/>
      <c r="R32" s="3"/>
      <c r="S32" s="3"/>
      <c r="T32" s="3"/>
      <c r="U32" s="3"/>
      <c r="V32" s="3"/>
      <c r="W32" s="3"/>
      <c r="X32" s="3"/>
      <c r="Y32" s="3"/>
    </row>
    <row r="33" spans="1:25" x14ac:dyDescent="0.25">
      <c r="A33" s="7" t="s">
        <v>210</v>
      </c>
      <c r="B33" s="3"/>
      <c r="C33" s="3"/>
      <c r="D33" s="3"/>
      <c r="E33" s="3"/>
      <c r="F33" s="3"/>
      <c r="G33" s="3"/>
      <c r="H33" s="3"/>
      <c r="I33" s="3"/>
      <c r="J33" s="3"/>
      <c r="K33" s="3"/>
      <c r="L33" s="3">
        <v>1.2911393478177899</v>
      </c>
      <c r="M33" s="3"/>
      <c r="N33" s="3"/>
      <c r="O33" s="3"/>
      <c r="P33" s="3"/>
      <c r="Q33" s="3"/>
      <c r="R33" s="3"/>
      <c r="S33" s="3"/>
      <c r="T33" s="3"/>
      <c r="U33" s="3"/>
      <c r="V33" s="3"/>
      <c r="W33" s="3"/>
      <c r="X33" s="3"/>
      <c r="Y33" s="3"/>
    </row>
    <row r="34" spans="1:25" x14ac:dyDescent="0.25">
      <c r="A34" s="7" t="s">
        <v>211</v>
      </c>
      <c r="B34" s="3"/>
      <c r="C34" s="3"/>
      <c r="D34" s="3"/>
      <c r="E34" s="3"/>
      <c r="F34" s="3"/>
      <c r="G34" s="3"/>
      <c r="H34" s="3"/>
      <c r="I34" s="3"/>
      <c r="J34" s="3"/>
      <c r="K34" s="3"/>
      <c r="L34" s="3"/>
      <c r="M34" s="3"/>
      <c r="N34" s="3"/>
      <c r="O34" s="3"/>
      <c r="P34" s="3"/>
      <c r="Q34" s="3"/>
      <c r="R34" s="3"/>
      <c r="S34" s="3"/>
      <c r="T34" s="3"/>
      <c r="U34" s="3"/>
      <c r="V34" s="3"/>
      <c r="W34" s="3"/>
      <c r="X34" s="3"/>
      <c r="Y34" s="3"/>
    </row>
    <row r="35" spans="1:25" x14ac:dyDescent="0.25">
      <c r="A35" s="7" t="s">
        <v>212</v>
      </c>
      <c r="B35" s="3"/>
      <c r="C35" s="3"/>
      <c r="D35" s="3"/>
      <c r="E35" s="3"/>
      <c r="F35" s="3"/>
      <c r="G35" s="3"/>
      <c r="H35" s="3"/>
      <c r="I35" s="3"/>
      <c r="J35" s="3"/>
      <c r="K35" s="3"/>
      <c r="L35" s="3"/>
      <c r="M35" s="3"/>
      <c r="N35" s="3"/>
      <c r="O35" s="3"/>
      <c r="P35" s="3"/>
      <c r="Q35" s="3"/>
      <c r="R35" s="3"/>
      <c r="S35" s="3"/>
      <c r="T35" s="3"/>
      <c r="U35" s="3"/>
      <c r="V35" s="3"/>
      <c r="W35" s="3"/>
      <c r="X35" s="3"/>
      <c r="Y35" s="3"/>
    </row>
    <row r="36" spans="1:25" x14ac:dyDescent="0.25">
      <c r="A36" s="7" t="s">
        <v>213</v>
      </c>
      <c r="B36" s="3"/>
      <c r="C36" s="3"/>
      <c r="D36" s="3"/>
      <c r="E36" s="3"/>
      <c r="F36" s="3"/>
      <c r="G36" s="3"/>
      <c r="H36" s="3"/>
      <c r="I36" s="3"/>
      <c r="J36" s="3"/>
      <c r="K36" s="3"/>
      <c r="L36" s="3"/>
      <c r="M36" s="3"/>
      <c r="N36" s="3"/>
      <c r="O36" s="3"/>
      <c r="P36" s="3"/>
      <c r="Q36" s="3"/>
      <c r="R36" s="3"/>
      <c r="S36" s="3"/>
      <c r="T36" s="3"/>
      <c r="U36" s="3"/>
      <c r="V36" s="3"/>
      <c r="W36" s="3"/>
      <c r="X36" s="3"/>
      <c r="Y36" s="3"/>
    </row>
    <row r="37" spans="1:25" x14ac:dyDescent="0.25">
      <c r="A37" s="7" t="s">
        <v>214</v>
      </c>
      <c r="B37" s="3"/>
      <c r="C37" s="3"/>
      <c r="D37" s="3"/>
      <c r="E37" s="3"/>
      <c r="F37" s="3"/>
      <c r="G37" s="3"/>
      <c r="H37" s="3"/>
      <c r="I37" s="3"/>
      <c r="J37" s="3"/>
      <c r="K37" s="3"/>
      <c r="L37" s="3"/>
      <c r="M37" s="3"/>
      <c r="N37" s="3"/>
      <c r="O37" s="3"/>
      <c r="P37" s="3"/>
      <c r="Q37" s="3"/>
      <c r="R37" s="3"/>
      <c r="S37" s="3"/>
      <c r="T37" s="3"/>
      <c r="U37" s="3"/>
      <c r="V37" s="3"/>
      <c r="W37" s="3"/>
      <c r="X37" s="3"/>
      <c r="Y37" s="3"/>
    </row>
    <row r="38" spans="1:25" x14ac:dyDescent="0.25">
      <c r="A38" s="7" t="s">
        <v>215</v>
      </c>
      <c r="B38" s="3"/>
      <c r="C38" s="3"/>
      <c r="D38" s="3"/>
      <c r="E38" s="3"/>
      <c r="F38" s="3"/>
      <c r="G38" s="3"/>
      <c r="H38" s="3"/>
      <c r="I38" s="3"/>
      <c r="J38" s="3"/>
      <c r="K38" s="3"/>
      <c r="L38" s="3"/>
      <c r="M38" s="3"/>
      <c r="N38" s="3"/>
      <c r="O38" s="3"/>
      <c r="P38" s="3"/>
      <c r="Q38" s="3"/>
      <c r="R38" s="3"/>
      <c r="S38" s="3"/>
      <c r="T38" s="3"/>
      <c r="U38" s="3"/>
      <c r="V38" s="3"/>
      <c r="W38" s="3"/>
      <c r="X38" s="3"/>
      <c r="Y38" s="3"/>
    </row>
    <row r="39" spans="1:25" x14ac:dyDescent="0.25">
      <c r="A39" s="7" t="s">
        <v>216</v>
      </c>
      <c r="B39" s="3"/>
      <c r="C39" s="3"/>
      <c r="D39" s="3">
        <v>1.5827122345232201</v>
      </c>
      <c r="E39" s="3"/>
      <c r="F39" s="3"/>
      <c r="G39" s="3"/>
      <c r="H39" s="3"/>
      <c r="I39" s="3"/>
      <c r="J39" s="3"/>
      <c r="K39" s="3"/>
      <c r="L39" s="3"/>
      <c r="M39" s="3"/>
      <c r="N39" s="3"/>
      <c r="O39" s="3"/>
      <c r="P39" s="3"/>
      <c r="Q39" s="3"/>
      <c r="R39" s="3"/>
      <c r="S39" s="3"/>
      <c r="T39" s="3"/>
      <c r="U39" s="3"/>
      <c r="V39" s="3"/>
      <c r="W39" s="3"/>
      <c r="X39" s="3"/>
      <c r="Y39" s="3"/>
    </row>
    <row r="40" spans="1:25" x14ac:dyDescent="0.25">
      <c r="A40" s="7" t="s">
        <v>217</v>
      </c>
      <c r="B40" s="3"/>
      <c r="C40" s="3"/>
      <c r="D40" s="3"/>
      <c r="E40" s="3"/>
      <c r="F40" s="3"/>
      <c r="G40" s="3"/>
      <c r="H40" s="3"/>
      <c r="I40" s="3"/>
      <c r="J40" s="3"/>
      <c r="K40" s="3"/>
      <c r="L40" s="3"/>
      <c r="M40" s="3"/>
      <c r="N40" s="3"/>
      <c r="O40" s="3"/>
      <c r="P40" s="3"/>
      <c r="Q40" s="3"/>
      <c r="R40" s="3"/>
      <c r="S40" s="3"/>
      <c r="T40" s="3"/>
      <c r="U40" s="3"/>
      <c r="V40" s="3"/>
      <c r="W40" s="3"/>
      <c r="X40" s="3"/>
      <c r="Y40" s="3"/>
    </row>
    <row r="41" spans="1:25" x14ac:dyDescent="0.25">
      <c r="A41" s="7" t="s">
        <v>218</v>
      </c>
      <c r="B41" s="3"/>
      <c r="C41" s="3"/>
      <c r="D41" s="3"/>
      <c r="E41" s="3"/>
      <c r="F41" s="3"/>
      <c r="G41" s="3"/>
      <c r="H41" s="3"/>
      <c r="I41" s="3"/>
      <c r="J41" s="3"/>
      <c r="K41" s="3"/>
      <c r="L41" s="3"/>
      <c r="M41" s="3"/>
      <c r="N41" s="3"/>
      <c r="O41" s="3"/>
      <c r="P41" s="3"/>
      <c r="Q41" s="3"/>
      <c r="R41" s="3"/>
      <c r="S41" s="3"/>
      <c r="T41" s="3"/>
      <c r="U41" s="3"/>
      <c r="V41" s="3"/>
      <c r="W41" s="3"/>
      <c r="X41" s="3"/>
      <c r="Y41" s="3"/>
    </row>
    <row r="42" spans="1:25" x14ac:dyDescent="0.25">
      <c r="A42" s="7" t="s">
        <v>219</v>
      </c>
      <c r="B42" s="3"/>
      <c r="C42" s="3"/>
      <c r="D42" s="3"/>
      <c r="E42" s="3"/>
      <c r="F42" s="3"/>
      <c r="G42" s="3"/>
      <c r="H42" s="3"/>
      <c r="I42" s="3"/>
      <c r="J42" s="3"/>
      <c r="K42" s="3"/>
      <c r="L42" s="3"/>
      <c r="M42" s="3"/>
      <c r="N42" s="3"/>
      <c r="O42" s="3"/>
      <c r="P42" s="3"/>
      <c r="Q42" s="3"/>
      <c r="R42" s="3"/>
      <c r="S42" s="3"/>
      <c r="T42" s="3"/>
      <c r="U42" s="3"/>
      <c r="V42" s="3"/>
      <c r="W42" s="3"/>
      <c r="X42" s="3"/>
      <c r="Y42" s="3"/>
    </row>
    <row r="43" spans="1:25" x14ac:dyDescent="0.25">
      <c r="A43" s="7" t="s">
        <v>220</v>
      </c>
      <c r="B43" s="3"/>
      <c r="C43" s="3"/>
      <c r="D43" s="3"/>
      <c r="E43" s="3"/>
      <c r="F43" s="3"/>
      <c r="G43" s="3"/>
      <c r="H43" s="3"/>
      <c r="I43" s="3"/>
      <c r="J43" s="3"/>
      <c r="K43" s="3"/>
      <c r="L43" s="3"/>
      <c r="M43" s="3"/>
      <c r="N43" s="3"/>
      <c r="O43" s="3"/>
      <c r="P43" s="3"/>
      <c r="Q43" s="3"/>
      <c r="R43" s="3"/>
      <c r="S43" s="3"/>
      <c r="T43" s="3"/>
      <c r="U43" s="3"/>
      <c r="V43" s="3"/>
      <c r="W43" s="3"/>
      <c r="X43" s="3"/>
      <c r="Y43" s="3"/>
    </row>
    <row r="44" spans="1:25" x14ac:dyDescent="0.25">
      <c r="A44" s="7" t="s">
        <v>221</v>
      </c>
      <c r="B44" s="3"/>
      <c r="C44" s="3"/>
      <c r="D44" s="3"/>
      <c r="E44" s="3"/>
      <c r="F44" s="3"/>
      <c r="G44" s="3"/>
      <c r="H44" s="3"/>
      <c r="I44" s="3"/>
      <c r="J44" s="3"/>
      <c r="K44" s="3"/>
      <c r="L44" s="3"/>
      <c r="M44" s="3"/>
      <c r="N44" s="3"/>
      <c r="O44" s="3"/>
      <c r="P44" s="3"/>
      <c r="Q44" s="3"/>
      <c r="R44" s="3"/>
      <c r="S44" s="3"/>
      <c r="T44" s="3"/>
      <c r="U44" s="3"/>
      <c r="V44" s="3"/>
      <c r="W44" s="3"/>
      <c r="X44" s="3"/>
      <c r="Y44" s="3"/>
    </row>
    <row r="45" spans="1:25" x14ac:dyDescent="0.25">
      <c r="A45" s="7" t="s">
        <v>222</v>
      </c>
      <c r="B45" s="3"/>
      <c r="C45" s="3"/>
      <c r="D45" s="3"/>
      <c r="E45" s="3"/>
      <c r="F45" s="3"/>
      <c r="G45" s="3"/>
      <c r="H45" s="3"/>
      <c r="I45" s="3"/>
      <c r="J45" s="3"/>
      <c r="K45" s="3"/>
      <c r="L45" s="3"/>
      <c r="M45" s="3"/>
      <c r="N45" s="3"/>
      <c r="O45" s="3"/>
      <c r="P45" s="3"/>
      <c r="Q45" s="3"/>
      <c r="R45" s="3"/>
      <c r="S45" s="3"/>
      <c r="T45" s="3"/>
      <c r="U45" s="3"/>
      <c r="V45" s="3"/>
      <c r="W45" s="3"/>
      <c r="X45" s="3"/>
      <c r="Y45" s="3"/>
    </row>
    <row r="46" spans="1:25" x14ac:dyDescent="0.25">
      <c r="A46" s="7" t="s">
        <v>223</v>
      </c>
      <c r="B46" s="3"/>
      <c r="C46" s="3"/>
      <c r="D46" s="3"/>
      <c r="E46" s="3"/>
      <c r="F46" s="3"/>
      <c r="G46" s="3"/>
      <c r="H46" s="3"/>
      <c r="I46" s="3"/>
      <c r="J46" s="3"/>
      <c r="K46" s="3"/>
      <c r="L46" s="3"/>
      <c r="M46" s="3"/>
      <c r="N46" s="3"/>
      <c r="O46" s="3"/>
      <c r="P46" s="3"/>
      <c r="Q46" s="3"/>
      <c r="R46" s="3"/>
      <c r="S46" s="3"/>
      <c r="T46" s="3"/>
      <c r="U46" s="3"/>
      <c r="V46" s="3"/>
      <c r="W46" s="3"/>
      <c r="X46" s="3"/>
      <c r="Y46" s="3"/>
    </row>
    <row r="47" spans="1:25" x14ac:dyDescent="0.25">
      <c r="A47" s="7" t="s">
        <v>224</v>
      </c>
      <c r="B47" s="3"/>
      <c r="C47" s="3"/>
      <c r="D47" s="3"/>
      <c r="E47" s="3"/>
      <c r="F47" s="3"/>
      <c r="G47" s="3"/>
      <c r="H47" s="3"/>
      <c r="I47" s="3"/>
      <c r="J47" s="3"/>
      <c r="K47" s="3"/>
      <c r="L47" s="3"/>
      <c r="M47" s="3"/>
      <c r="N47" s="3"/>
      <c r="O47" s="3"/>
      <c r="P47" s="3"/>
      <c r="Q47" s="3"/>
      <c r="R47" s="3"/>
      <c r="S47" s="3"/>
      <c r="T47" s="3"/>
      <c r="U47" s="3"/>
      <c r="V47" s="3"/>
      <c r="W47" s="3"/>
      <c r="X47" s="3"/>
      <c r="Y47" s="3"/>
    </row>
    <row r="48" spans="1:25" x14ac:dyDescent="0.25">
      <c r="A48" s="7" t="s">
        <v>225</v>
      </c>
      <c r="B48" s="3"/>
      <c r="C48" s="3"/>
      <c r="D48" s="3"/>
      <c r="E48" s="3"/>
      <c r="F48" s="3"/>
      <c r="G48" s="3"/>
      <c r="H48" s="3"/>
      <c r="I48" s="3">
        <v>2.4765270324880002</v>
      </c>
      <c r="J48" s="3"/>
      <c r="K48" s="3"/>
      <c r="L48" s="3"/>
      <c r="M48" s="3"/>
      <c r="N48" s="3"/>
      <c r="O48" s="3">
        <v>9.6903687076343097</v>
      </c>
      <c r="P48" s="3"/>
      <c r="Q48" s="3"/>
      <c r="R48" s="3"/>
      <c r="S48" s="3"/>
      <c r="T48" s="3"/>
      <c r="U48" s="3"/>
      <c r="V48" s="3"/>
      <c r="W48" s="3"/>
      <c r="X48" s="3"/>
      <c r="Y48" s="3"/>
    </row>
    <row r="49" spans="1:25" x14ac:dyDescent="0.25">
      <c r="A49" s="9" t="s">
        <v>164</v>
      </c>
      <c r="B49" s="11"/>
      <c r="C49" s="11"/>
      <c r="D49" s="11"/>
      <c r="E49" s="11"/>
      <c r="F49" s="11"/>
      <c r="G49" s="11"/>
      <c r="H49" s="11"/>
      <c r="I49" s="11"/>
      <c r="J49" s="11"/>
      <c r="K49" s="11"/>
      <c r="L49" s="11"/>
      <c r="M49" s="11"/>
      <c r="N49" s="11"/>
      <c r="O49" s="11"/>
      <c r="P49" s="11"/>
      <c r="Q49" s="11"/>
      <c r="R49" s="11"/>
      <c r="S49" s="3"/>
      <c r="T49" s="3"/>
      <c r="U49" s="3"/>
      <c r="V49" s="3"/>
      <c r="W49" s="3"/>
      <c r="X49" s="3"/>
      <c r="Y49" s="3"/>
    </row>
    <row r="50" spans="1:25" x14ac:dyDescent="0.25">
      <c r="A50" s="7" t="s">
        <v>183</v>
      </c>
      <c r="B50" s="3"/>
      <c r="C50" s="3"/>
      <c r="D50" s="3"/>
      <c r="E50" s="3"/>
      <c r="F50" s="3"/>
      <c r="G50" s="3"/>
      <c r="H50" s="3"/>
      <c r="I50" s="3"/>
      <c r="J50" s="3"/>
      <c r="K50" s="3"/>
      <c r="L50" s="3"/>
      <c r="M50" s="3"/>
      <c r="N50" s="3"/>
      <c r="O50" s="3"/>
      <c r="P50" s="3"/>
      <c r="Q50" s="3"/>
      <c r="R50" s="3"/>
      <c r="S50" s="3"/>
      <c r="T50" s="3"/>
      <c r="U50" s="3"/>
      <c r="V50" s="3"/>
      <c r="W50" s="3"/>
      <c r="X50" s="3"/>
      <c r="Y50" s="3"/>
    </row>
    <row r="51" spans="1:25" x14ac:dyDescent="0.25">
      <c r="A51" s="7" t="s">
        <v>184</v>
      </c>
      <c r="B51" s="3"/>
      <c r="C51" s="3"/>
      <c r="D51" s="3"/>
      <c r="E51" s="3"/>
      <c r="F51" s="3"/>
      <c r="G51" s="3"/>
      <c r="H51" s="3"/>
      <c r="I51" s="3"/>
      <c r="J51" s="3"/>
      <c r="K51" s="3"/>
      <c r="L51" s="3"/>
      <c r="M51" s="3"/>
      <c r="N51" s="3"/>
      <c r="O51" s="3"/>
      <c r="P51" s="3"/>
      <c r="Q51" s="3"/>
      <c r="R51" s="3"/>
      <c r="S51" s="3"/>
      <c r="T51" s="3"/>
      <c r="U51" s="3"/>
      <c r="V51" s="3"/>
      <c r="W51" s="3"/>
      <c r="X51" s="3"/>
      <c r="Y51" s="3"/>
    </row>
    <row r="52" spans="1:25" x14ac:dyDescent="0.25">
      <c r="A52" s="7" t="s">
        <v>185</v>
      </c>
      <c r="B52" s="3"/>
      <c r="C52" s="3"/>
      <c r="D52" s="3"/>
      <c r="E52" s="3"/>
      <c r="F52" s="3"/>
      <c r="G52" s="3"/>
      <c r="H52" s="3"/>
      <c r="I52" s="3">
        <v>59.623849145783097</v>
      </c>
      <c r="J52" s="3"/>
      <c r="K52" s="3"/>
      <c r="L52" s="3"/>
      <c r="M52" s="3"/>
      <c r="N52" s="3"/>
      <c r="O52" s="3"/>
      <c r="P52" s="3"/>
      <c r="Q52" s="3"/>
      <c r="R52" s="3"/>
      <c r="S52" s="3"/>
      <c r="T52" s="3"/>
      <c r="U52" s="3"/>
      <c r="V52" s="3"/>
      <c r="W52" s="3"/>
      <c r="X52" s="3"/>
      <c r="Y52" s="3"/>
    </row>
    <row r="53" spans="1:25" x14ac:dyDescent="0.25">
      <c r="A53" s="7" t="s">
        <v>186</v>
      </c>
      <c r="B53" s="3"/>
      <c r="C53" s="3"/>
      <c r="D53" s="3"/>
      <c r="E53" s="3"/>
      <c r="F53" s="3"/>
      <c r="G53" s="3"/>
      <c r="H53" s="3"/>
      <c r="I53" s="3"/>
      <c r="J53" s="3"/>
      <c r="K53" s="3"/>
      <c r="L53" s="3"/>
      <c r="M53" s="3"/>
      <c r="N53" s="3"/>
      <c r="O53" s="3"/>
      <c r="P53" s="3"/>
      <c r="Q53" s="3"/>
      <c r="R53" s="3"/>
      <c r="S53" s="3"/>
      <c r="T53" s="3"/>
      <c r="U53" s="3"/>
      <c r="V53" s="3"/>
      <c r="W53" s="3"/>
      <c r="X53" s="3"/>
      <c r="Y53" s="3"/>
    </row>
    <row r="54" spans="1:25" x14ac:dyDescent="0.25">
      <c r="A54" s="7" t="s">
        <v>187</v>
      </c>
      <c r="B54" s="3"/>
      <c r="C54" s="3"/>
      <c r="D54" s="3"/>
      <c r="E54" s="3"/>
      <c r="F54" s="3"/>
      <c r="G54" s="3"/>
      <c r="H54" s="3"/>
      <c r="I54" s="3"/>
      <c r="J54" s="3"/>
      <c r="K54" s="3"/>
      <c r="L54" s="3"/>
      <c r="M54" s="3"/>
      <c r="N54" s="3"/>
      <c r="O54" s="3"/>
      <c r="P54" s="3"/>
      <c r="Q54" s="3"/>
      <c r="R54" s="3"/>
      <c r="S54" s="3"/>
      <c r="T54" s="3"/>
      <c r="U54" s="3"/>
      <c r="V54" s="3"/>
      <c r="W54" s="3"/>
      <c r="X54" s="3"/>
      <c r="Y54" s="3"/>
    </row>
    <row r="55" spans="1:25" x14ac:dyDescent="0.25">
      <c r="A55" s="7" t="s">
        <v>189</v>
      </c>
      <c r="B55" s="3"/>
      <c r="C55" s="3"/>
      <c r="D55" s="3"/>
      <c r="E55" s="3"/>
      <c r="F55" s="3"/>
      <c r="G55" s="3"/>
      <c r="H55" s="3"/>
      <c r="I55" s="3"/>
      <c r="J55" s="3"/>
      <c r="K55" s="3">
        <v>73.501746580020694</v>
      </c>
      <c r="L55" s="3"/>
      <c r="M55" s="3"/>
      <c r="N55" s="3">
        <v>79.856351703932106</v>
      </c>
      <c r="O55" s="3"/>
      <c r="P55" s="3"/>
      <c r="Q55" s="3"/>
      <c r="R55" s="3"/>
      <c r="S55" s="3"/>
      <c r="T55" s="3"/>
      <c r="U55" s="3"/>
      <c r="V55" s="3"/>
      <c r="W55" s="3"/>
      <c r="X55" s="3"/>
      <c r="Y55" s="3"/>
    </row>
    <row r="56" spans="1:25" x14ac:dyDescent="0.25">
      <c r="A56" s="7" t="s">
        <v>188</v>
      </c>
      <c r="B56" s="3"/>
      <c r="C56" s="3"/>
      <c r="D56" s="3"/>
      <c r="E56" s="3"/>
      <c r="F56" s="3"/>
      <c r="G56" s="3"/>
      <c r="H56" s="3"/>
      <c r="I56" s="3"/>
      <c r="J56" s="3"/>
      <c r="K56" s="3"/>
      <c r="L56" s="3"/>
      <c r="M56" s="3"/>
      <c r="N56" s="3"/>
      <c r="O56" s="3"/>
      <c r="P56" s="3"/>
      <c r="Q56" s="3"/>
      <c r="R56" s="3"/>
      <c r="S56" s="3"/>
      <c r="T56" s="3"/>
      <c r="U56" s="3"/>
      <c r="V56" s="3"/>
      <c r="W56" s="3"/>
      <c r="X56" s="3"/>
      <c r="Y56" s="3"/>
    </row>
    <row r="57" spans="1:25" x14ac:dyDescent="0.25">
      <c r="A57" s="7" t="s">
        <v>190</v>
      </c>
      <c r="B57" s="3"/>
      <c r="C57" s="3"/>
      <c r="D57" s="3"/>
      <c r="E57" s="3"/>
      <c r="F57" s="3"/>
      <c r="G57" s="3"/>
      <c r="H57" s="3"/>
      <c r="I57" s="3"/>
      <c r="J57" s="3"/>
      <c r="K57" s="3"/>
      <c r="L57" s="3"/>
      <c r="M57" s="3"/>
      <c r="N57" s="3"/>
      <c r="O57" s="3"/>
      <c r="P57" s="3"/>
      <c r="Q57" s="3"/>
      <c r="R57" s="3"/>
      <c r="S57" s="3"/>
      <c r="T57" s="3"/>
      <c r="U57" s="3"/>
      <c r="V57" s="3"/>
      <c r="W57" s="3"/>
      <c r="X57" s="3"/>
      <c r="Y57" s="3"/>
    </row>
    <row r="58" spans="1:25" x14ac:dyDescent="0.25">
      <c r="A58" s="7" t="s">
        <v>191</v>
      </c>
      <c r="B58" s="3"/>
      <c r="C58" s="3"/>
      <c r="D58" s="3"/>
      <c r="E58" s="3"/>
      <c r="F58" s="3"/>
      <c r="G58" s="3"/>
      <c r="H58" s="3"/>
      <c r="I58" s="3"/>
      <c r="J58" s="3"/>
      <c r="K58" s="3"/>
      <c r="L58" s="3"/>
      <c r="M58" s="3"/>
      <c r="N58" s="3"/>
      <c r="O58" s="3"/>
      <c r="P58" s="3"/>
      <c r="Q58" s="3"/>
      <c r="R58" s="3"/>
      <c r="S58" s="3"/>
      <c r="T58" s="3"/>
      <c r="U58" s="3"/>
      <c r="V58" s="3"/>
      <c r="W58" s="3"/>
      <c r="X58" s="3"/>
      <c r="Y58" s="3"/>
    </row>
    <row r="59" spans="1:25" x14ac:dyDescent="0.25">
      <c r="A59" s="7" t="s">
        <v>192</v>
      </c>
      <c r="B59" s="3"/>
      <c r="C59" s="3"/>
      <c r="D59" s="3"/>
      <c r="E59" s="3"/>
      <c r="F59" s="3"/>
      <c r="G59" s="3"/>
      <c r="H59" s="3"/>
      <c r="I59" s="3"/>
      <c r="J59" s="3"/>
      <c r="K59" s="3"/>
      <c r="L59" s="3"/>
      <c r="M59" s="3"/>
      <c r="N59" s="3"/>
      <c r="O59" s="3"/>
      <c r="P59" s="3"/>
      <c r="Q59" s="3"/>
      <c r="R59" s="3"/>
      <c r="S59" s="3"/>
      <c r="T59" s="3"/>
      <c r="U59" s="3"/>
      <c r="V59" s="3"/>
      <c r="W59" s="3"/>
      <c r="X59" s="3"/>
      <c r="Y59" s="3"/>
    </row>
    <row r="60" spans="1:25" x14ac:dyDescent="0.25">
      <c r="A60" s="7" t="s">
        <v>193</v>
      </c>
      <c r="B60" s="3"/>
      <c r="C60" s="3"/>
      <c r="D60" s="3"/>
      <c r="E60" s="3"/>
      <c r="F60" s="3"/>
      <c r="G60" s="3"/>
      <c r="H60" s="3"/>
      <c r="I60" s="3"/>
      <c r="J60" s="3"/>
      <c r="K60" s="3"/>
      <c r="L60" s="3"/>
      <c r="M60" s="3"/>
      <c r="N60" s="3">
        <v>48.369414349864002</v>
      </c>
      <c r="O60" s="3"/>
      <c r="P60" s="3"/>
      <c r="Q60" s="3">
        <v>53.2253329568873</v>
      </c>
      <c r="R60" s="3">
        <v>53.097439269965797</v>
      </c>
      <c r="S60" s="3"/>
      <c r="T60" s="3"/>
      <c r="U60" s="3"/>
      <c r="V60" s="3"/>
      <c r="W60" s="3"/>
      <c r="X60" s="3"/>
      <c r="Y60" s="3"/>
    </row>
    <row r="61" spans="1:25" x14ac:dyDescent="0.25">
      <c r="A61" s="7" t="s">
        <v>249</v>
      </c>
      <c r="B61" s="3"/>
      <c r="C61" s="3"/>
      <c r="D61" s="3"/>
      <c r="E61" s="3"/>
      <c r="F61" s="3"/>
      <c r="G61" s="3"/>
      <c r="H61" s="3"/>
      <c r="I61" s="3"/>
      <c r="J61" s="3"/>
      <c r="K61" s="3"/>
      <c r="L61" s="3"/>
      <c r="M61" s="3"/>
      <c r="N61" s="3"/>
      <c r="O61" s="3"/>
      <c r="P61" s="3"/>
      <c r="Q61" s="3"/>
      <c r="R61" s="3"/>
      <c r="S61" s="3"/>
      <c r="T61" s="3"/>
      <c r="U61" s="3"/>
      <c r="V61" s="3"/>
      <c r="W61" s="3"/>
      <c r="X61" s="3"/>
      <c r="Y61" s="3"/>
    </row>
    <row r="62" spans="1:25" x14ac:dyDescent="0.25">
      <c r="A62" s="7" t="s">
        <v>194</v>
      </c>
      <c r="B62" s="3"/>
      <c r="C62" s="3"/>
      <c r="D62" s="3"/>
      <c r="E62" s="3"/>
      <c r="F62" s="3"/>
      <c r="G62" s="3"/>
      <c r="H62" s="3"/>
      <c r="I62" s="3"/>
      <c r="J62" s="3"/>
      <c r="K62" s="3"/>
      <c r="L62" s="3"/>
      <c r="M62" s="3"/>
      <c r="N62" s="3"/>
      <c r="O62" s="3"/>
      <c r="P62" s="3"/>
      <c r="Q62" s="3"/>
      <c r="R62" s="3"/>
      <c r="S62" s="3"/>
      <c r="T62" s="3"/>
      <c r="U62" s="3"/>
      <c r="V62" s="3"/>
      <c r="W62" s="3"/>
      <c r="X62" s="3"/>
      <c r="Y62" s="3"/>
    </row>
    <row r="63" spans="1:25" x14ac:dyDescent="0.25">
      <c r="A63" s="7" t="s">
        <v>195</v>
      </c>
      <c r="B63" s="3"/>
      <c r="C63" s="3"/>
      <c r="D63" s="3"/>
      <c r="E63" s="3"/>
      <c r="F63" s="3"/>
      <c r="G63" s="3"/>
      <c r="H63" s="3"/>
      <c r="I63" s="3"/>
      <c r="J63" s="3"/>
      <c r="K63" s="3"/>
      <c r="L63" s="3"/>
      <c r="M63" s="3"/>
      <c r="N63" s="3"/>
      <c r="O63" s="3"/>
      <c r="P63" s="3"/>
      <c r="Q63" s="3"/>
      <c r="R63" s="3"/>
      <c r="S63" s="3"/>
      <c r="T63" s="3"/>
      <c r="U63" s="3"/>
      <c r="V63" s="3"/>
      <c r="W63" s="3"/>
      <c r="X63" s="3"/>
      <c r="Y63" s="3"/>
    </row>
    <row r="64" spans="1:25" x14ac:dyDescent="0.25">
      <c r="A64" s="7" t="s">
        <v>196</v>
      </c>
      <c r="B64" s="3"/>
      <c r="C64" s="3"/>
      <c r="D64" s="3"/>
      <c r="E64" s="3"/>
      <c r="F64" s="3"/>
      <c r="G64" s="3"/>
      <c r="H64" s="3"/>
      <c r="I64" s="3"/>
      <c r="J64" s="3"/>
      <c r="K64" s="3"/>
      <c r="L64" s="3"/>
      <c r="M64" s="3"/>
      <c r="N64" s="3"/>
      <c r="O64" s="3"/>
      <c r="P64" s="3"/>
      <c r="Q64" s="3"/>
      <c r="R64" s="3"/>
      <c r="S64" s="3"/>
      <c r="T64" s="3"/>
      <c r="U64" s="3"/>
      <c r="V64" s="3"/>
      <c r="W64" s="3"/>
      <c r="X64" s="3"/>
      <c r="Y64" s="3"/>
    </row>
    <row r="65" spans="1:25" x14ac:dyDescent="0.25">
      <c r="A65" s="7" t="s">
        <v>197</v>
      </c>
      <c r="B65" s="3"/>
      <c r="C65" s="3"/>
      <c r="D65" s="3"/>
      <c r="E65" s="3"/>
      <c r="F65" s="3"/>
      <c r="G65" s="3"/>
      <c r="H65" s="3"/>
      <c r="I65" s="3"/>
      <c r="J65" s="3"/>
      <c r="K65" s="3"/>
      <c r="L65" s="3"/>
      <c r="M65" s="3"/>
      <c r="N65" s="3"/>
      <c r="O65" s="3"/>
      <c r="P65" s="3"/>
      <c r="Q65" s="3"/>
      <c r="R65" s="3"/>
      <c r="S65" s="3"/>
      <c r="T65" s="3"/>
      <c r="U65" s="3"/>
      <c r="V65" s="3"/>
      <c r="W65" s="3"/>
      <c r="X65" s="3"/>
      <c r="Y65" s="3"/>
    </row>
    <row r="66" spans="1:25" x14ac:dyDescent="0.25">
      <c r="A66" s="7" t="s">
        <v>198</v>
      </c>
      <c r="B66" s="3"/>
      <c r="C66" s="3"/>
      <c r="D66" s="3"/>
      <c r="E66" s="3"/>
      <c r="F66" s="3"/>
      <c r="G66" s="3"/>
      <c r="H66" s="3"/>
      <c r="I66" s="3"/>
      <c r="J66" s="3"/>
      <c r="K66" s="3"/>
      <c r="L66" s="3"/>
      <c r="M66" s="3"/>
      <c r="N66" s="3"/>
      <c r="O66" s="3"/>
      <c r="P66" s="3"/>
      <c r="Q66" s="3"/>
      <c r="R66" s="3"/>
      <c r="S66" s="3"/>
      <c r="T66" s="3"/>
      <c r="U66" s="3"/>
      <c r="V66" s="3"/>
      <c r="W66" s="3"/>
      <c r="X66" s="3"/>
      <c r="Y66" s="3"/>
    </row>
    <row r="67" spans="1:25" x14ac:dyDescent="0.25">
      <c r="A67" s="7" t="s">
        <v>199</v>
      </c>
      <c r="B67" s="3"/>
      <c r="C67" s="3"/>
      <c r="D67" s="3"/>
      <c r="E67" s="3"/>
      <c r="F67" s="3"/>
      <c r="G67" s="3"/>
      <c r="H67" s="3"/>
      <c r="I67" s="3"/>
      <c r="J67" s="3"/>
      <c r="K67" s="3"/>
      <c r="L67" s="3"/>
      <c r="M67" s="3"/>
      <c r="N67" s="3"/>
      <c r="O67" s="3"/>
      <c r="P67" s="3"/>
      <c r="Q67" s="3"/>
      <c r="R67" s="3"/>
      <c r="S67" s="3"/>
      <c r="T67" s="3"/>
      <c r="U67" s="3"/>
      <c r="V67" s="3"/>
      <c r="W67" s="3"/>
      <c r="X67" s="3"/>
      <c r="Y67" s="3"/>
    </row>
    <row r="68" spans="1:25" x14ac:dyDescent="0.25">
      <c r="A68" s="7" t="s">
        <v>200</v>
      </c>
      <c r="B68" s="3"/>
      <c r="C68" s="3"/>
      <c r="D68" s="3"/>
      <c r="E68" s="3"/>
      <c r="F68" s="3"/>
      <c r="G68" s="3"/>
      <c r="H68" s="3"/>
      <c r="I68" s="3"/>
      <c r="J68" s="3"/>
      <c r="K68" s="3"/>
      <c r="L68" s="3"/>
      <c r="M68" s="3"/>
      <c r="N68" s="3"/>
      <c r="O68" s="3"/>
      <c r="P68" s="3"/>
      <c r="Q68" s="3"/>
      <c r="R68" s="3"/>
      <c r="S68" s="3"/>
      <c r="T68" s="3"/>
      <c r="U68" s="3"/>
      <c r="V68" s="3"/>
      <c r="W68" s="3"/>
      <c r="X68" s="3"/>
      <c r="Y68" s="3"/>
    </row>
    <row r="69" spans="1:25" x14ac:dyDescent="0.25">
      <c r="A69" s="7" t="s">
        <v>201</v>
      </c>
      <c r="B69" s="3"/>
      <c r="C69" s="3"/>
      <c r="D69" s="3"/>
      <c r="E69" s="3"/>
      <c r="F69" s="3"/>
      <c r="G69" s="3"/>
      <c r="H69" s="3"/>
      <c r="I69" s="3"/>
      <c r="J69" s="3"/>
      <c r="K69" s="3"/>
      <c r="L69" s="3"/>
      <c r="M69" s="3"/>
      <c r="N69" s="3"/>
      <c r="O69" s="3"/>
      <c r="P69" s="3"/>
      <c r="Q69" s="3"/>
      <c r="R69" s="3"/>
      <c r="S69" s="3"/>
      <c r="T69" s="3"/>
      <c r="U69" s="3"/>
      <c r="V69" s="3"/>
      <c r="W69" s="3"/>
      <c r="X69" s="3"/>
      <c r="Y69" s="3"/>
    </row>
    <row r="70" spans="1:25" x14ac:dyDescent="0.25">
      <c r="A70" s="7" t="s">
        <v>202</v>
      </c>
      <c r="B70" s="3"/>
      <c r="C70" s="3"/>
      <c r="D70" s="3"/>
      <c r="E70" s="3"/>
      <c r="F70" s="3"/>
      <c r="G70" s="3"/>
      <c r="H70" s="3"/>
      <c r="I70" s="3"/>
      <c r="J70" s="3"/>
      <c r="K70" s="3"/>
      <c r="L70" s="3"/>
      <c r="M70" s="3"/>
      <c r="N70" s="3"/>
      <c r="O70" s="3"/>
      <c r="P70" s="3"/>
      <c r="Q70" s="3"/>
      <c r="R70" s="3"/>
      <c r="S70" s="3"/>
      <c r="T70" s="3"/>
      <c r="U70" s="3"/>
      <c r="V70" s="3"/>
      <c r="W70" s="3"/>
      <c r="X70" s="3"/>
      <c r="Y70" s="3"/>
    </row>
    <row r="71" spans="1:25" x14ac:dyDescent="0.25">
      <c r="A71" s="7" t="s">
        <v>203</v>
      </c>
      <c r="B71" s="3"/>
      <c r="C71" s="3"/>
      <c r="D71" s="3"/>
      <c r="E71" s="3"/>
      <c r="F71" s="3"/>
      <c r="G71" s="3"/>
      <c r="H71" s="3"/>
      <c r="I71" s="3"/>
      <c r="J71" s="3">
        <v>29.651395599743701</v>
      </c>
      <c r="K71" s="3"/>
      <c r="L71" s="3"/>
      <c r="M71" s="3"/>
      <c r="N71" s="3">
        <v>32.274148783879298</v>
      </c>
      <c r="O71" s="3"/>
      <c r="P71" s="3"/>
      <c r="Q71" s="3"/>
      <c r="R71" s="3"/>
      <c r="S71" s="3"/>
      <c r="T71" s="3"/>
      <c r="U71" s="3"/>
      <c r="V71" s="3"/>
      <c r="W71" s="3"/>
      <c r="X71" s="3"/>
      <c r="Y71" s="3"/>
    </row>
    <row r="72" spans="1:25" x14ac:dyDescent="0.25">
      <c r="A72" s="7" t="s">
        <v>204</v>
      </c>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7" t="s">
        <v>205</v>
      </c>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7" t="s">
        <v>206</v>
      </c>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7" t="s">
        <v>207</v>
      </c>
      <c r="B75" s="3"/>
      <c r="C75" s="3"/>
      <c r="D75" s="3"/>
      <c r="E75" s="3"/>
      <c r="F75" s="3"/>
      <c r="G75" s="3"/>
      <c r="H75" s="3"/>
      <c r="I75" s="3"/>
      <c r="J75" s="3"/>
      <c r="K75" s="3"/>
      <c r="L75" s="3"/>
      <c r="M75" s="3"/>
      <c r="N75" s="3"/>
      <c r="O75" s="3"/>
      <c r="P75" s="3"/>
      <c r="Q75" s="3"/>
      <c r="R75" s="3">
        <v>4.4639646157883099</v>
      </c>
      <c r="S75" s="3"/>
      <c r="T75" s="3"/>
      <c r="U75" s="3"/>
      <c r="V75" s="3"/>
      <c r="W75" s="3"/>
      <c r="X75" s="3"/>
      <c r="Y75" s="3"/>
    </row>
    <row r="76" spans="1:25" x14ac:dyDescent="0.25">
      <c r="A76" s="7" t="s">
        <v>208</v>
      </c>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7" t="s">
        <v>209</v>
      </c>
      <c r="B77" s="3"/>
      <c r="C77" s="3">
        <v>45.317829457364297</v>
      </c>
      <c r="D77" s="3"/>
      <c r="E77" s="3">
        <v>60.613978790379299</v>
      </c>
      <c r="F77" s="3"/>
      <c r="G77" s="3">
        <v>69.208421611471294</v>
      </c>
      <c r="H77" s="3"/>
      <c r="I77" s="3">
        <v>79.848992941273906</v>
      </c>
      <c r="J77" s="3"/>
      <c r="K77" s="3"/>
      <c r="L77" s="3"/>
      <c r="M77" s="3">
        <v>88.608548593586207</v>
      </c>
      <c r="N77" s="3"/>
      <c r="O77" s="3">
        <v>89.681984085844505</v>
      </c>
      <c r="P77" s="3"/>
      <c r="Q77" s="3"/>
      <c r="R77" s="3"/>
      <c r="S77" s="3"/>
      <c r="T77" s="3"/>
      <c r="U77" s="3"/>
      <c r="V77" s="3"/>
      <c r="W77" s="3"/>
      <c r="X77" s="3"/>
      <c r="Y77" s="3"/>
    </row>
    <row r="78" spans="1:25" x14ac:dyDescent="0.25">
      <c r="A78" s="7" t="s">
        <v>210</v>
      </c>
      <c r="B78" s="3"/>
      <c r="C78" s="3"/>
      <c r="D78" s="3"/>
      <c r="E78" s="3"/>
      <c r="F78" s="3"/>
      <c r="G78" s="3"/>
      <c r="H78" s="3"/>
      <c r="I78" s="3"/>
      <c r="J78" s="3"/>
      <c r="K78" s="3"/>
      <c r="L78" s="3">
        <v>11.678018239065899</v>
      </c>
      <c r="M78" s="3"/>
      <c r="N78" s="3"/>
      <c r="O78" s="3"/>
      <c r="P78" s="3"/>
      <c r="Q78" s="3"/>
      <c r="R78" s="3"/>
      <c r="S78" s="3"/>
      <c r="T78" s="3"/>
      <c r="U78" s="3"/>
      <c r="V78" s="3"/>
      <c r="W78" s="3"/>
      <c r="X78" s="3"/>
      <c r="Y78" s="3"/>
    </row>
    <row r="79" spans="1:25" x14ac:dyDescent="0.25">
      <c r="A79" s="7" t="s">
        <v>211</v>
      </c>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7" t="s">
        <v>212</v>
      </c>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7" t="s">
        <v>213</v>
      </c>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7" t="s">
        <v>214</v>
      </c>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7" t="s">
        <v>215</v>
      </c>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7" t="s">
        <v>216</v>
      </c>
      <c r="B84" s="3"/>
      <c r="C84" s="3"/>
      <c r="D84" s="3">
        <v>18.429540525000899</v>
      </c>
      <c r="E84" s="3"/>
      <c r="F84" s="3"/>
      <c r="G84" s="3"/>
      <c r="H84" s="3"/>
      <c r="I84" s="3"/>
      <c r="J84" s="3"/>
      <c r="K84" s="3"/>
      <c r="L84" s="3"/>
      <c r="M84" s="3"/>
      <c r="N84" s="3"/>
      <c r="O84" s="3"/>
      <c r="P84" s="3"/>
      <c r="Q84" s="3"/>
      <c r="R84" s="3"/>
      <c r="S84" s="3"/>
      <c r="T84" s="3"/>
      <c r="U84" s="3"/>
      <c r="V84" s="3"/>
      <c r="W84" s="3"/>
      <c r="X84" s="3"/>
      <c r="Y84" s="3"/>
    </row>
    <row r="85" spans="1:25" x14ac:dyDescent="0.25">
      <c r="A85" s="7" t="s">
        <v>217</v>
      </c>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7" t="s">
        <v>218</v>
      </c>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7" t="s">
        <v>219</v>
      </c>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7" t="s">
        <v>220</v>
      </c>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7" t="s">
        <v>221</v>
      </c>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7" t="s">
        <v>222</v>
      </c>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7" t="s">
        <v>223</v>
      </c>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7" t="s">
        <v>224</v>
      </c>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7" t="s">
        <v>225</v>
      </c>
      <c r="B93" s="3"/>
      <c r="C93" s="3"/>
      <c r="D93" s="3"/>
      <c r="E93" s="3"/>
      <c r="F93" s="3"/>
      <c r="G93" s="3"/>
      <c r="H93" s="3"/>
      <c r="I93" s="3">
        <v>25.0199406762477</v>
      </c>
      <c r="J93" s="3"/>
      <c r="K93" s="3"/>
      <c r="L93" s="3"/>
      <c r="M93" s="3"/>
      <c r="N93" s="3"/>
      <c r="O93" s="3">
        <v>41.385483717854598</v>
      </c>
      <c r="P93" s="3"/>
      <c r="Q93" s="3"/>
      <c r="R93" s="3"/>
      <c r="S93" s="3"/>
      <c r="T93" s="3"/>
      <c r="U93" s="3"/>
      <c r="V93" s="3"/>
      <c r="W93" s="3"/>
      <c r="X93" s="3"/>
      <c r="Y93" s="3"/>
    </row>
    <row r="94" spans="1:25" x14ac:dyDescent="0.25">
      <c r="A94" s="9" t="s">
        <v>165</v>
      </c>
      <c r="B94" s="11"/>
      <c r="C94" s="11"/>
      <c r="D94" s="11"/>
      <c r="E94" s="11"/>
      <c r="F94" s="11"/>
      <c r="G94" s="11"/>
      <c r="H94" s="11"/>
      <c r="I94" s="11"/>
      <c r="J94" s="11"/>
      <c r="K94" s="11"/>
      <c r="L94" s="11"/>
      <c r="M94" s="11"/>
      <c r="N94" s="11"/>
      <c r="O94" s="11"/>
      <c r="P94" s="11"/>
      <c r="Q94" s="11"/>
      <c r="R94" s="11"/>
      <c r="S94" s="3"/>
      <c r="T94" s="3"/>
      <c r="U94" s="3"/>
      <c r="V94" s="3"/>
      <c r="W94" s="3"/>
      <c r="X94" s="3"/>
      <c r="Y94" s="3"/>
    </row>
    <row r="95" spans="1:25" x14ac:dyDescent="0.25">
      <c r="A95" s="7" t="s">
        <v>183</v>
      </c>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7" t="s">
        <v>184</v>
      </c>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7" t="s">
        <v>185</v>
      </c>
      <c r="B97" s="3"/>
      <c r="C97" s="3"/>
      <c r="D97" s="3"/>
      <c r="E97" s="3"/>
      <c r="F97" s="3"/>
      <c r="G97" s="3"/>
      <c r="H97" s="3"/>
      <c r="I97" s="3">
        <v>34.178187123170503</v>
      </c>
      <c r="J97" s="3"/>
      <c r="K97" s="3"/>
      <c r="L97" s="3"/>
      <c r="M97" s="3"/>
      <c r="N97" s="3"/>
      <c r="O97" s="3"/>
      <c r="P97" s="3"/>
      <c r="Q97" s="3"/>
      <c r="R97" s="3"/>
      <c r="S97" s="3"/>
      <c r="T97" s="3"/>
      <c r="U97" s="3"/>
      <c r="V97" s="3"/>
      <c r="W97" s="3"/>
      <c r="X97" s="3"/>
      <c r="Y97" s="3"/>
    </row>
    <row r="98" spans="1:25" x14ac:dyDescent="0.25">
      <c r="A98" s="7" t="s">
        <v>186</v>
      </c>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7" t="s">
        <v>187</v>
      </c>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7" t="s">
        <v>189</v>
      </c>
      <c r="B100" s="3"/>
      <c r="C100" s="3"/>
      <c r="D100" s="3"/>
      <c r="E100" s="3"/>
      <c r="F100" s="3"/>
      <c r="G100" s="3"/>
      <c r="H100" s="3"/>
      <c r="I100" s="3"/>
      <c r="J100" s="3"/>
      <c r="K100" s="3">
        <v>48.6958552071643</v>
      </c>
      <c r="L100" s="3"/>
      <c r="M100" s="3"/>
      <c r="N100" s="3">
        <v>65.033663842850601</v>
      </c>
      <c r="O100" s="3"/>
      <c r="P100" s="3"/>
      <c r="Q100" s="3"/>
      <c r="R100" s="3"/>
      <c r="S100" s="3"/>
      <c r="T100" s="3"/>
      <c r="U100" s="3"/>
      <c r="V100" s="3"/>
      <c r="W100" s="3"/>
      <c r="X100" s="3"/>
      <c r="Y100" s="3"/>
    </row>
    <row r="101" spans="1:25" x14ac:dyDescent="0.25">
      <c r="A101" s="7" t="s">
        <v>188</v>
      </c>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7" t="s">
        <v>190</v>
      </c>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7" t="s">
        <v>191</v>
      </c>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7" t="s">
        <v>192</v>
      </c>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7" t="s">
        <v>193</v>
      </c>
      <c r="B105" s="3"/>
      <c r="C105" s="3"/>
      <c r="D105" s="3"/>
      <c r="E105" s="3"/>
      <c r="F105" s="3"/>
      <c r="G105" s="3"/>
      <c r="H105" s="3"/>
      <c r="I105" s="3"/>
      <c r="J105" s="3"/>
      <c r="K105" s="3"/>
      <c r="L105" s="3"/>
      <c r="M105" s="3"/>
      <c r="N105" s="3">
        <v>38.1782649017468</v>
      </c>
      <c r="O105" s="3"/>
      <c r="P105" s="3"/>
      <c r="Q105" s="3">
        <v>52.211436493491099</v>
      </c>
      <c r="R105" s="3">
        <v>53.112158757055902</v>
      </c>
      <c r="S105" s="3"/>
      <c r="T105" s="3"/>
      <c r="U105" s="3"/>
      <c r="V105" s="3"/>
      <c r="W105" s="3"/>
      <c r="X105" s="3"/>
      <c r="Y105" s="3"/>
    </row>
    <row r="106" spans="1:25" x14ac:dyDescent="0.25">
      <c r="A106" s="7" t="s">
        <v>249</v>
      </c>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7" t="s">
        <v>194</v>
      </c>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7" t="s">
        <v>195</v>
      </c>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7" t="s">
        <v>196</v>
      </c>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7" t="s">
        <v>197</v>
      </c>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7" t="s">
        <v>198</v>
      </c>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7" t="s">
        <v>199</v>
      </c>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7" t="s">
        <v>200</v>
      </c>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7" t="s">
        <v>201</v>
      </c>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7" t="s">
        <v>202</v>
      </c>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7" t="s">
        <v>203</v>
      </c>
      <c r="B116" s="3"/>
      <c r="C116" s="3"/>
      <c r="D116" s="3"/>
      <c r="E116" s="3"/>
      <c r="F116" s="3"/>
      <c r="G116" s="3"/>
      <c r="H116" s="3"/>
      <c r="I116" s="3"/>
      <c r="J116" s="3">
        <v>23.590203675693601</v>
      </c>
      <c r="K116" s="3"/>
      <c r="L116" s="3"/>
      <c r="M116" s="3"/>
      <c r="N116" s="3">
        <v>34.259118317389301</v>
      </c>
      <c r="O116" s="3"/>
      <c r="P116" s="3"/>
      <c r="Q116" s="3"/>
      <c r="R116" s="3"/>
      <c r="S116" s="3"/>
      <c r="T116" s="3"/>
      <c r="U116" s="3"/>
      <c r="V116" s="3"/>
      <c r="W116" s="3"/>
      <c r="X116" s="3"/>
      <c r="Y116" s="3"/>
    </row>
    <row r="117" spans="1:25" x14ac:dyDescent="0.25">
      <c r="A117" s="7" t="s">
        <v>204</v>
      </c>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7" t="s">
        <v>205</v>
      </c>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7" t="s">
        <v>206</v>
      </c>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7" t="s">
        <v>207</v>
      </c>
      <c r="B120" s="3"/>
      <c r="C120" s="3"/>
      <c r="D120" s="3"/>
      <c r="E120" s="3"/>
      <c r="F120" s="3"/>
      <c r="G120" s="3"/>
      <c r="H120" s="3"/>
      <c r="I120" s="3"/>
      <c r="J120" s="3"/>
      <c r="K120" s="3"/>
      <c r="L120" s="3"/>
      <c r="M120" s="3"/>
      <c r="N120" s="3"/>
      <c r="O120" s="3"/>
      <c r="P120" s="3"/>
      <c r="Q120" s="3"/>
      <c r="R120" s="3">
        <v>24.522892945625198</v>
      </c>
      <c r="S120" s="3"/>
      <c r="T120" s="3"/>
      <c r="U120" s="3"/>
      <c r="V120" s="3"/>
      <c r="W120" s="3"/>
      <c r="X120" s="3"/>
      <c r="Y120" s="3"/>
    </row>
    <row r="121" spans="1:25" x14ac:dyDescent="0.25">
      <c r="A121" s="7" t="s">
        <v>208</v>
      </c>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7" t="s">
        <v>209</v>
      </c>
      <c r="B122" s="3"/>
      <c r="C122" s="3">
        <v>15.4876155767024</v>
      </c>
      <c r="D122" s="3"/>
      <c r="E122" s="3">
        <v>22.311896865704298</v>
      </c>
      <c r="F122" s="3"/>
      <c r="G122" s="3">
        <v>29.292561168734501</v>
      </c>
      <c r="H122" s="3"/>
      <c r="I122" s="3">
        <v>37.868087119815897</v>
      </c>
      <c r="J122" s="3"/>
      <c r="K122" s="3"/>
      <c r="L122" s="3"/>
      <c r="M122" s="3">
        <v>53.580681227617902</v>
      </c>
      <c r="N122" s="3"/>
      <c r="O122" s="3">
        <v>61.646835181063999</v>
      </c>
      <c r="P122" s="3"/>
      <c r="Q122" s="3"/>
      <c r="R122" s="3"/>
      <c r="S122" s="3"/>
      <c r="T122" s="3"/>
      <c r="U122" s="3"/>
      <c r="V122" s="3"/>
      <c r="W122" s="3"/>
      <c r="X122" s="3"/>
      <c r="Y122" s="3"/>
    </row>
    <row r="123" spans="1:25" x14ac:dyDescent="0.25">
      <c r="A123" s="7" t="s">
        <v>210</v>
      </c>
      <c r="B123" s="3"/>
      <c r="C123" s="3"/>
      <c r="D123" s="3"/>
      <c r="E123" s="3"/>
      <c r="F123" s="3"/>
      <c r="G123" s="3"/>
      <c r="H123" s="3"/>
      <c r="I123" s="3"/>
      <c r="J123" s="3"/>
      <c r="K123" s="3"/>
      <c r="L123" s="3">
        <v>9.80777706246392</v>
      </c>
      <c r="M123" s="3"/>
      <c r="N123" s="3"/>
      <c r="O123" s="3"/>
      <c r="P123" s="3"/>
      <c r="Q123" s="3"/>
      <c r="R123" s="3"/>
      <c r="S123" s="3"/>
      <c r="T123" s="3"/>
      <c r="U123" s="3"/>
      <c r="V123" s="3"/>
      <c r="W123" s="3"/>
      <c r="X123" s="3"/>
      <c r="Y123" s="3"/>
    </row>
    <row r="124" spans="1:25" x14ac:dyDescent="0.25">
      <c r="A124" s="7" t="s">
        <v>211</v>
      </c>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7" t="s">
        <v>212</v>
      </c>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7" t="s">
        <v>213</v>
      </c>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7" t="s">
        <v>214</v>
      </c>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7" t="s">
        <v>215</v>
      </c>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7" t="s">
        <v>216</v>
      </c>
      <c r="B129" s="3"/>
      <c r="C129" s="3"/>
      <c r="D129" s="3">
        <v>10.448650844122101</v>
      </c>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7" t="s">
        <v>217</v>
      </c>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x14ac:dyDescent="0.25">
      <c r="A131" s="7" t="s">
        <v>218</v>
      </c>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x14ac:dyDescent="0.25">
      <c r="A132" s="7" t="s">
        <v>219</v>
      </c>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x14ac:dyDescent="0.25">
      <c r="A133" s="7" t="s">
        <v>220</v>
      </c>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x14ac:dyDescent="0.25">
      <c r="A134" s="7" t="s">
        <v>221</v>
      </c>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x14ac:dyDescent="0.25">
      <c r="A135" s="7" t="s">
        <v>222</v>
      </c>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x14ac:dyDescent="0.25">
      <c r="A136" s="7" t="s">
        <v>223</v>
      </c>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x14ac:dyDescent="0.25">
      <c r="A137" s="7" t="s">
        <v>224</v>
      </c>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x14ac:dyDescent="0.25">
      <c r="A138" s="7" t="s">
        <v>225</v>
      </c>
      <c r="B138" s="3"/>
      <c r="C138" s="3"/>
      <c r="D138" s="3"/>
      <c r="E138" s="3"/>
      <c r="F138" s="3"/>
      <c r="G138" s="3"/>
      <c r="H138" s="3"/>
      <c r="I138" s="3">
        <v>24.883930943315701</v>
      </c>
      <c r="J138" s="3"/>
      <c r="K138" s="3"/>
      <c r="L138" s="3"/>
      <c r="M138" s="3"/>
      <c r="N138" s="3"/>
      <c r="O138" s="3">
        <v>41.953055871362302</v>
      </c>
      <c r="P138" s="3"/>
      <c r="Q138" s="3"/>
      <c r="R138" s="3"/>
      <c r="S138" s="3"/>
      <c r="T138" s="3"/>
      <c r="U138" s="3"/>
      <c r="V138" s="3"/>
      <c r="W138" s="3"/>
      <c r="X138" s="3"/>
      <c r="Y138" s="3"/>
    </row>
    <row r="139" spans="1:25" x14ac:dyDescent="0.25">
      <c r="A139" s="9" t="s">
        <v>166</v>
      </c>
      <c r="B139" s="11"/>
      <c r="C139" s="11"/>
      <c r="D139" s="11"/>
      <c r="E139" s="11"/>
      <c r="F139" s="11"/>
      <c r="G139" s="11"/>
      <c r="H139" s="11"/>
      <c r="I139" s="11"/>
      <c r="J139" s="11"/>
      <c r="K139" s="11"/>
      <c r="L139" s="11"/>
      <c r="M139" s="11"/>
      <c r="N139" s="11"/>
      <c r="O139" s="11"/>
      <c r="P139" s="11"/>
      <c r="Q139" s="11"/>
      <c r="R139" s="11"/>
      <c r="S139" s="3"/>
      <c r="T139" s="3"/>
      <c r="U139" s="3"/>
      <c r="V139" s="3"/>
      <c r="W139" s="3"/>
      <c r="X139" s="3"/>
      <c r="Y139" s="3"/>
    </row>
    <row r="140" spans="1:25" x14ac:dyDescent="0.25">
      <c r="A140" s="7" t="s">
        <v>183</v>
      </c>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x14ac:dyDescent="0.25">
      <c r="A141" s="7" t="s">
        <v>184</v>
      </c>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x14ac:dyDescent="0.25">
      <c r="A142" s="7" t="s">
        <v>185</v>
      </c>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x14ac:dyDescent="0.25">
      <c r="A143" s="7" t="s">
        <v>186</v>
      </c>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x14ac:dyDescent="0.25">
      <c r="A144" s="7" t="s">
        <v>187</v>
      </c>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x14ac:dyDescent="0.25">
      <c r="A145" s="7" t="s">
        <v>189</v>
      </c>
      <c r="B145" s="3"/>
      <c r="C145" s="3"/>
      <c r="D145" s="3"/>
      <c r="E145" s="3"/>
      <c r="F145" s="3"/>
      <c r="G145" s="3"/>
      <c r="H145" s="3"/>
      <c r="I145" s="3"/>
      <c r="J145" s="3"/>
      <c r="K145" s="3">
        <v>1.97144799456152</v>
      </c>
      <c r="L145" s="3"/>
      <c r="M145" s="3"/>
      <c r="N145" s="3">
        <v>7.8777653274177402</v>
      </c>
      <c r="O145" s="3"/>
      <c r="P145" s="3"/>
      <c r="Q145" s="3"/>
      <c r="R145" s="3"/>
      <c r="S145" s="3"/>
      <c r="T145" s="3"/>
      <c r="U145" s="3"/>
      <c r="V145" s="3"/>
      <c r="W145" s="3"/>
      <c r="X145" s="3"/>
      <c r="Y145" s="3"/>
    </row>
    <row r="146" spans="1:25" x14ac:dyDescent="0.25">
      <c r="A146" s="7" t="s">
        <v>188</v>
      </c>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x14ac:dyDescent="0.25">
      <c r="A147" s="7" t="s">
        <v>190</v>
      </c>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x14ac:dyDescent="0.25">
      <c r="A148" s="7" t="s">
        <v>191</v>
      </c>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x14ac:dyDescent="0.25">
      <c r="A149" s="7" t="s">
        <v>192</v>
      </c>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x14ac:dyDescent="0.25">
      <c r="A150" s="7" t="s">
        <v>193</v>
      </c>
      <c r="B150" s="3"/>
      <c r="C150" s="3"/>
      <c r="D150" s="3"/>
      <c r="E150" s="3"/>
      <c r="F150" s="3"/>
      <c r="G150" s="3"/>
      <c r="H150" s="3"/>
      <c r="I150" s="3"/>
      <c r="J150" s="3"/>
      <c r="K150" s="3"/>
      <c r="L150" s="3"/>
      <c r="M150" s="3"/>
      <c r="N150" s="3">
        <v>22.479146221786099</v>
      </c>
      <c r="O150" s="3"/>
      <c r="P150" s="3"/>
      <c r="Q150" s="3">
        <v>9.6982549607167492</v>
      </c>
      <c r="R150" s="3">
        <v>12.5132907725688</v>
      </c>
      <c r="S150" s="3"/>
      <c r="T150" s="3"/>
      <c r="U150" s="3"/>
      <c r="V150" s="3"/>
      <c r="W150" s="3"/>
      <c r="X150" s="3"/>
      <c r="Y150" s="3"/>
    </row>
    <row r="151" spans="1:25" x14ac:dyDescent="0.25">
      <c r="A151" s="7" t="s">
        <v>249</v>
      </c>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x14ac:dyDescent="0.25">
      <c r="A152" s="7" t="s">
        <v>194</v>
      </c>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x14ac:dyDescent="0.25">
      <c r="A153" s="7" t="s">
        <v>195</v>
      </c>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x14ac:dyDescent="0.25">
      <c r="A154" s="7" t="s">
        <v>196</v>
      </c>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x14ac:dyDescent="0.25">
      <c r="A155" s="7" t="s">
        <v>197</v>
      </c>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x14ac:dyDescent="0.25">
      <c r="A156" s="7" t="s">
        <v>198</v>
      </c>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x14ac:dyDescent="0.25">
      <c r="A157" s="7" t="s">
        <v>199</v>
      </c>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x14ac:dyDescent="0.25">
      <c r="A158" s="7" t="s">
        <v>200</v>
      </c>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x14ac:dyDescent="0.25">
      <c r="A159" s="7" t="s">
        <v>201</v>
      </c>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x14ac:dyDescent="0.25">
      <c r="A160" s="7" t="s">
        <v>202</v>
      </c>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x14ac:dyDescent="0.25">
      <c r="A161" s="7" t="s">
        <v>203</v>
      </c>
      <c r="B161" s="3"/>
      <c r="C161" s="3"/>
      <c r="D161" s="3"/>
      <c r="E161" s="3"/>
      <c r="F161" s="3"/>
      <c r="G161" s="3"/>
      <c r="H161" s="3"/>
      <c r="I161" s="3"/>
      <c r="J161" s="3">
        <v>0.86945833793087102</v>
      </c>
      <c r="K161" s="3"/>
      <c r="L161" s="3"/>
      <c r="M161" s="3"/>
      <c r="N161" s="3">
        <v>4.1867098865478098</v>
      </c>
      <c r="O161" s="3"/>
      <c r="P161" s="3"/>
      <c r="Q161" s="3"/>
      <c r="R161" s="3"/>
      <c r="S161" s="3"/>
      <c r="T161" s="3"/>
      <c r="U161" s="3"/>
      <c r="V161" s="3"/>
      <c r="W161" s="3"/>
      <c r="X161" s="3"/>
      <c r="Y161" s="3"/>
    </row>
    <row r="162" spans="1:25" x14ac:dyDescent="0.25">
      <c r="A162" s="7" t="s">
        <v>204</v>
      </c>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x14ac:dyDescent="0.25">
      <c r="A163" s="7" t="s">
        <v>205</v>
      </c>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x14ac:dyDescent="0.25">
      <c r="A164" s="7" t="s">
        <v>206</v>
      </c>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x14ac:dyDescent="0.25">
      <c r="A165" s="7" t="s">
        <v>207</v>
      </c>
      <c r="B165" s="3"/>
      <c r="C165" s="3"/>
      <c r="D165" s="3"/>
      <c r="E165" s="3"/>
      <c r="F165" s="3"/>
      <c r="G165" s="3"/>
      <c r="H165" s="3"/>
      <c r="I165" s="3"/>
      <c r="J165" s="3"/>
      <c r="K165" s="3"/>
      <c r="L165" s="3"/>
      <c r="M165" s="3"/>
      <c r="N165" s="3"/>
      <c r="O165" s="3"/>
      <c r="P165" s="3"/>
      <c r="Q165" s="3"/>
      <c r="R165" s="3">
        <v>14.7254724382021</v>
      </c>
      <c r="S165" s="3"/>
      <c r="T165" s="3"/>
      <c r="U165" s="3"/>
      <c r="V165" s="3"/>
      <c r="W165" s="3"/>
      <c r="X165" s="3"/>
      <c r="Y165" s="3"/>
    </row>
    <row r="166" spans="1:25" x14ac:dyDescent="0.25">
      <c r="A166" s="7" t="s">
        <v>208</v>
      </c>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x14ac:dyDescent="0.25">
      <c r="A167" s="7" t="s">
        <v>209</v>
      </c>
      <c r="B167" s="3"/>
      <c r="C167" s="3">
        <v>1.0439054344488801</v>
      </c>
      <c r="D167" s="3"/>
      <c r="E167" s="3">
        <v>0.69242924867116795</v>
      </c>
      <c r="F167" s="3"/>
      <c r="G167" s="3">
        <v>1.97229916897507</v>
      </c>
      <c r="H167" s="3"/>
      <c r="I167" s="3">
        <v>3.6315280464216602</v>
      </c>
      <c r="J167" s="3"/>
      <c r="K167" s="3"/>
      <c r="L167" s="3"/>
      <c r="M167" s="3">
        <v>6.3437926330150098</v>
      </c>
      <c r="N167" s="3"/>
      <c r="O167" s="3">
        <v>8.5443234193828399</v>
      </c>
      <c r="P167" s="3"/>
      <c r="Q167" s="3"/>
      <c r="R167" s="3"/>
      <c r="S167" s="3"/>
      <c r="T167" s="3"/>
      <c r="U167" s="3"/>
      <c r="V167" s="3"/>
      <c r="W167" s="3"/>
      <c r="X167" s="3"/>
      <c r="Y167" s="3"/>
    </row>
    <row r="168" spans="1:25" x14ac:dyDescent="0.25">
      <c r="A168" s="7" t="s">
        <v>210</v>
      </c>
      <c r="B168" s="3"/>
      <c r="C168" s="3"/>
      <c r="D168" s="3"/>
      <c r="E168" s="3"/>
      <c r="F168" s="3"/>
      <c r="G168" s="3"/>
      <c r="H168" s="3"/>
      <c r="I168" s="3"/>
      <c r="J168" s="3"/>
      <c r="K168" s="3"/>
      <c r="L168" s="3">
        <v>2.1199141726367001</v>
      </c>
      <c r="M168" s="3"/>
      <c r="N168" s="3"/>
      <c r="O168" s="3"/>
      <c r="P168" s="3"/>
      <c r="Q168" s="3"/>
      <c r="R168" s="3"/>
      <c r="S168" s="3"/>
      <c r="T168" s="3"/>
      <c r="U168" s="3"/>
      <c r="V168" s="3"/>
      <c r="W168" s="3"/>
      <c r="X168" s="3"/>
      <c r="Y168" s="3"/>
    </row>
    <row r="169" spans="1:25" x14ac:dyDescent="0.25">
      <c r="A169" s="7" t="s">
        <v>211</v>
      </c>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x14ac:dyDescent="0.25">
      <c r="A170" s="7" t="s">
        <v>212</v>
      </c>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x14ac:dyDescent="0.25">
      <c r="A171" s="7" t="s">
        <v>213</v>
      </c>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x14ac:dyDescent="0.25">
      <c r="A172" s="7" t="s">
        <v>214</v>
      </c>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x14ac:dyDescent="0.25">
      <c r="A173" s="7" t="s">
        <v>215</v>
      </c>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x14ac:dyDescent="0.25">
      <c r="A174" s="7" t="s">
        <v>216</v>
      </c>
      <c r="B174" s="3"/>
      <c r="C174" s="3"/>
      <c r="D174" s="3">
        <v>1.85258391432473</v>
      </c>
      <c r="E174" s="3"/>
      <c r="F174" s="3"/>
      <c r="G174" s="3"/>
      <c r="H174" s="3"/>
      <c r="I174" s="3"/>
      <c r="J174" s="3"/>
      <c r="K174" s="3"/>
      <c r="L174" s="3"/>
      <c r="M174" s="3"/>
      <c r="N174" s="3"/>
      <c r="O174" s="3"/>
      <c r="P174" s="3"/>
      <c r="Q174" s="3"/>
      <c r="R174" s="3"/>
      <c r="S174" s="3"/>
      <c r="T174" s="3"/>
      <c r="U174" s="3"/>
      <c r="V174" s="3"/>
      <c r="W174" s="3"/>
      <c r="X174" s="3"/>
      <c r="Y174" s="3"/>
    </row>
    <row r="175" spans="1:25" x14ac:dyDescent="0.25">
      <c r="A175" s="7" t="s">
        <v>217</v>
      </c>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x14ac:dyDescent="0.25">
      <c r="A176" s="7" t="s">
        <v>218</v>
      </c>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x14ac:dyDescent="0.25">
      <c r="A177" s="7" t="s">
        <v>219</v>
      </c>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x14ac:dyDescent="0.25">
      <c r="A178" s="7" t="s">
        <v>220</v>
      </c>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x14ac:dyDescent="0.25">
      <c r="A179" s="7" t="s">
        <v>221</v>
      </c>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x14ac:dyDescent="0.25">
      <c r="A180" s="7" t="s">
        <v>222</v>
      </c>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x14ac:dyDescent="0.25">
      <c r="A181" s="7" t="s">
        <v>223</v>
      </c>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x14ac:dyDescent="0.25">
      <c r="A182" s="7" t="s">
        <v>224</v>
      </c>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x14ac:dyDescent="0.25">
      <c r="A183" s="7" t="s">
        <v>225</v>
      </c>
      <c r="B183" s="3"/>
      <c r="C183" s="3"/>
      <c r="D183" s="3"/>
      <c r="E183" s="3"/>
      <c r="F183" s="3"/>
      <c r="G183" s="3"/>
      <c r="H183" s="3"/>
      <c r="I183" s="3">
        <v>0.74350491035627797</v>
      </c>
      <c r="J183" s="3"/>
      <c r="K183" s="3"/>
      <c r="L183" s="3"/>
      <c r="M183" s="3"/>
      <c r="N183" s="3"/>
      <c r="O183" s="3">
        <v>5.8207649406618103</v>
      </c>
      <c r="P183" s="3"/>
      <c r="Q183" s="3"/>
      <c r="R183" s="3"/>
      <c r="S183" s="3"/>
      <c r="T183" s="3"/>
      <c r="U183" s="3"/>
      <c r="V183" s="3"/>
      <c r="W183" s="3"/>
      <c r="X183" s="3"/>
      <c r="Y183" s="3"/>
    </row>
    <row r="184" spans="1:25" x14ac:dyDescent="0.25">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x14ac:dyDescent="0.25">
      <c r="A185" t="s">
        <v>23</v>
      </c>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x14ac:dyDescent="0.25">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x14ac:dyDescent="0.25">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x14ac:dyDescent="0.25">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x14ac:dyDescent="0.25">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x14ac:dyDescent="0.25">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x14ac:dyDescent="0.25">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x14ac:dyDescent="0.25">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2:25" x14ac:dyDescent="0.25">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2:25" x14ac:dyDescent="0.25">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2:25" x14ac:dyDescent="0.25">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2:25" x14ac:dyDescent="0.25">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2:25" x14ac:dyDescent="0.25">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2:25" x14ac:dyDescent="0.25">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2:25" x14ac:dyDescent="0.25">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2:25" x14ac:dyDescent="0.25">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2:25" x14ac:dyDescent="0.25">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2:25" x14ac:dyDescent="0.25">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2:25" x14ac:dyDescent="0.25">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2:25" x14ac:dyDescent="0.25">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2:25" x14ac:dyDescent="0.25">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2:25" x14ac:dyDescent="0.25">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2:25" x14ac:dyDescent="0.25">
      <c r="B207" s="3"/>
      <c r="C207" s="3"/>
      <c r="D207" s="3"/>
      <c r="E207" s="3"/>
      <c r="F207" s="3"/>
      <c r="G207" s="3"/>
      <c r="H207" s="3"/>
      <c r="I207" s="3"/>
      <c r="J207" s="3"/>
      <c r="K207" s="3"/>
      <c r="L207" s="3"/>
      <c r="M207" s="3"/>
      <c r="N207" s="3"/>
      <c r="O207" s="3"/>
      <c r="P207" s="3"/>
      <c r="Q207" s="3"/>
      <c r="R207" s="3"/>
      <c r="S207" s="3"/>
      <c r="T207" s="3"/>
      <c r="U207" s="3"/>
      <c r="V207" s="3"/>
      <c r="W207" s="3"/>
      <c r="X207" s="3"/>
      <c r="Y207" s="3"/>
    </row>
  </sheetData>
  <hyperlinks>
    <hyperlink ref="R1" location="Contents!A1" display="Return to Contents" xr:uid="{B5715460-AFFB-45B5-A209-B754191CE69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2066-B65F-4A8B-9EF9-47FD87DEC4D2}">
  <sheetPr codeName="Sheet6"/>
  <dimension ref="A1:V95"/>
  <sheetViews>
    <sheetView workbookViewId="0"/>
  </sheetViews>
  <sheetFormatPr defaultRowHeight="15" x14ac:dyDescent="0.25"/>
  <cols>
    <col min="1" max="1" width="28.140625" customWidth="1"/>
  </cols>
  <sheetData>
    <row r="1" spans="1:22" x14ac:dyDescent="0.25">
      <c r="A1" s="1" t="s">
        <v>31</v>
      </c>
      <c r="R1" s="34" t="s">
        <v>17</v>
      </c>
    </row>
    <row r="3" spans="1:22" x14ac:dyDescent="0.25">
      <c r="A3" s="6"/>
      <c r="B3" s="6">
        <v>2007</v>
      </c>
      <c r="C3" s="6">
        <v>2008</v>
      </c>
      <c r="D3" s="6">
        <v>2009</v>
      </c>
      <c r="E3" s="6">
        <v>2010</v>
      </c>
      <c r="F3" s="6">
        <v>2011</v>
      </c>
      <c r="G3" s="6">
        <v>2012</v>
      </c>
      <c r="H3" s="6">
        <v>2013</v>
      </c>
      <c r="I3" s="6">
        <v>2014</v>
      </c>
      <c r="J3" s="6">
        <v>2015</v>
      </c>
      <c r="K3" s="6">
        <v>2016</v>
      </c>
      <c r="L3" s="6">
        <v>2017</v>
      </c>
      <c r="M3" s="6">
        <v>2018</v>
      </c>
      <c r="N3" s="6">
        <v>2019</v>
      </c>
      <c r="O3" s="6">
        <v>2020</v>
      </c>
      <c r="P3" s="6">
        <v>2021</v>
      </c>
      <c r="Q3" s="6">
        <v>2022</v>
      </c>
      <c r="R3" s="6">
        <v>2023</v>
      </c>
    </row>
    <row r="4" spans="1:22" x14ac:dyDescent="0.25">
      <c r="A4" s="9" t="s">
        <v>169</v>
      </c>
      <c r="B4" s="8"/>
      <c r="C4" s="8"/>
      <c r="D4" s="8"/>
      <c r="E4" s="8"/>
      <c r="F4" s="8"/>
      <c r="G4" s="8"/>
      <c r="H4" s="8"/>
      <c r="I4" s="8"/>
      <c r="J4" s="8"/>
      <c r="K4" s="8"/>
      <c r="L4" s="8"/>
      <c r="M4" s="8"/>
      <c r="N4" s="8"/>
      <c r="O4" s="8"/>
      <c r="P4" s="8"/>
      <c r="Q4" s="8"/>
      <c r="R4" s="8"/>
    </row>
    <row r="5" spans="1:22" x14ac:dyDescent="0.25">
      <c r="A5" s="7" t="s">
        <v>183</v>
      </c>
      <c r="B5" s="3"/>
      <c r="C5" s="3"/>
      <c r="D5" s="3"/>
      <c r="E5" s="3"/>
      <c r="F5" s="3"/>
      <c r="G5" s="3"/>
      <c r="H5" s="3"/>
      <c r="I5" s="3"/>
      <c r="J5" s="3"/>
      <c r="K5" s="3"/>
      <c r="L5" s="3"/>
      <c r="M5" s="3"/>
      <c r="N5" s="3"/>
      <c r="O5" s="3"/>
      <c r="P5" s="3"/>
      <c r="Q5" s="3"/>
      <c r="R5" s="3"/>
      <c r="S5" s="3"/>
      <c r="T5" s="3"/>
      <c r="U5" s="3"/>
      <c r="V5" s="3"/>
    </row>
    <row r="6" spans="1:22" x14ac:dyDescent="0.25">
      <c r="A6" s="7" t="s">
        <v>184</v>
      </c>
      <c r="B6" s="3"/>
      <c r="C6" s="3"/>
      <c r="D6" s="3"/>
      <c r="E6" s="3"/>
      <c r="F6" s="3"/>
      <c r="G6" s="3"/>
      <c r="H6" s="3"/>
      <c r="I6" s="3"/>
      <c r="J6" s="3"/>
      <c r="K6" s="3"/>
      <c r="L6" s="3"/>
      <c r="M6" s="3"/>
      <c r="N6" s="3"/>
      <c r="O6" s="3"/>
      <c r="P6" s="3"/>
      <c r="Q6" s="3"/>
      <c r="R6" s="3"/>
      <c r="S6" s="3"/>
      <c r="T6" s="3"/>
      <c r="U6" s="3"/>
      <c r="V6" s="3"/>
    </row>
    <row r="7" spans="1:22" x14ac:dyDescent="0.25">
      <c r="A7" s="7" t="s">
        <v>185</v>
      </c>
      <c r="B7" s="3"/>
      <c r="C7" s="3"/>
      <c r="D7" s="3"/>
      <c r="E7" s="3"/>
      <c r="F7" s="3"/>
      <c r="G7" s="3"/>
      <c r="H7" s="3"/>
      <c r="I7" s="3"/>
      <c r="J7" s="3"/>
      <c r="K7" s="3"/>
      <c r="L7" s="3"/>
      <c r="M7" s="3"/>
      <c r="N7" s="3"/>
      <c r="O7" s="3"/>
      <c r="P7" s="3"/>
      <c r="Q7" s="3"/>
      <c r="R7" s="3"/>
      <c r="S7" s="3"/>
      <c r="T7" s="3"/>
      <c r="U7" s="3"/>
      <c r="V7" s="3"/>
    </row>
    <row r="8" spans="1:22" x14ac:dyDescent="0.25">
      <c r="A8" s="7" t="s">
        <v>186</v>
      </c>
      <c r="B8" s="3"/>
      <c r="C8" s="3"/>
      <c r="D8" s="3"/>
      <c r="E8" s="3"/>
      <c r="F8" s="3"/>
      <c r="G8" s="3"/>
      <c r="H8" s="3"/>
      <c r="I8" s="3"/>
      <c r="J8" s="3"/>
      <c r="K8" s="3"/>
      <c r="L8" s="3"/>
      <c r="M8" s="3"/>
      <c r="N8" s="3"/>
      <c r="O8" s="3"/>
      <c r="P8" s="3"/>
      <c r="Q8" s="3"/>
      <c r="R8" s="3"/>
      <c r="S8" s="3"/>
      <c r="T8" s="3"/>
      <c r="U8" s="3"/>
      <c r="V8" s="3"/>
    </row>
    <row r="9" spans="1:22" x14ac:dyDescent="0.25">
      <c r="A9" s="7" t="s">
        <v>187</v>
      </c>
      <c r="B9" s="3"/>
      <c r="C9" s="3"/>
      <c r="D9" s="3"/>
      <c r="E9" s="3"/>
      <c r="F9" s="3"/>
      <c r="G9" s="3"/>
      <c r="H9" s="3"/>
      <c r="I9" s="3"/>
      <c r="J9" s="3"/>
      <c r="K9" s="3"/>
      <c r="L9" s="3"/>
      <c r="M9" s="3"/>
      <c r="N9" s="3"/>
      <c r="O9" s="3"/>
      <c r="P9" s="3"/>
      <c r="Q9" s="3"/>
      <c r="R9" s="3"/>
      <c r="S9" s="3"/>
      <c r="T9" s="3"/>
      <c r="U9" s="3"/>
      <c r="V9" s="3"/>
    </row>
    <row r="10" spans="1:22" x14ac:dyDescent="0.25">
      <c r="A10" s="7" t="s">
        <v>189</v>
      </c>
      <c r="B10" s="3"/>
      <c r="C10" s="3"/>
      <c r="D10" s="3"/>
      <c r="E10" s="3"/>
      <c r="F10" s="3"/>
      <c r="G10" s="3"/>
      <c r="H10" s="3"/>
      <c r="I10" s="3"/>
      <c r="J10" s="3"/>
      <c r="K10" s="3">
        <v>36.024102213285197</v>
      </c>
      <c r="L10" s="3"/>
      <c r="M10" s="3"/>
      <c r="N10" s="3">
        <v>47.4875476361888</v>
      </c>
      <c r="O10" s="3"/>
      <c r="P10" s="3"/>
      <c r="Q10" s="3"/>
      <c r="R10" s="3"/>
      <c r="S10" s="3"/>
      <c r="T10" s="3"/>
      <c r="U10" s="3"/>
      <c r="V10" s="3"/>
    </row>
    <row r="11" spans="1:22" x14ac:dyDescent="0.25">
      <c r="A11" s="7" t="s">
        <v>188</v>
      </c>
      <c r="B11" s="3"/>
      <c r="C11" s="3"/>
      <c r="D11" s="3"/>
      <c r="E11" s="3"/>
      <c r="F11" s="3"/>
      <c r="G11" s="3"/>
      <c r="H11" s="3"/>
      <c r="I11" s="3"/>
      <c r="J11" s="3"/>
      <c r="K11" s="3"/>
      <c r="L11" s="3"/>
      <c r="M11" s="3"/>
      <c r="N11" s="3"/>
      <c r="O11" s="3"/>
      <c r="P11" s="3"/>
      <c r="Q11" s="3"/>
      <c r="R11" s="3"/>
      <c r="S11" s="3"/>
      <c r="T11" s="3"/>
      <c r="U11" s="3"/>
      <c r="V11" s="3"/>
    </row>
    <row r="12" spans="1:22" x14ac:dyDescent="0.25">
      <c r="A12" s="7" t="s">
        <v>190</v>
      </c>
      <c r="B12" s="3"/>
      <c r="C12" s="3"/>
      <c r="D12" s="3"/>
      <c r="E12" s="3"/>
      <c r="F12" s="3"/>
      <c r="G12" s="3"/>
      <c r="H12" s="3"/>
      <c r="I12" s="3"/>
      <c r="J12" s="3"/>
      <c r="K12" s="3"/>
      <c r="L12" s="3"/>
      <c r="M12" s="3"/>
      <c r="N12" s="3"/>
      <c r="O12" s="3"/>
      <c r="P12" s="3"/>
      <c r="Q12" s="3"/>
      <c r="R12" s="3"/>
      <c r="S12" s="3"/>
      <c r="T12" s="3"/>
      <c r="U12" s="3"/>
      <c r="V12" s="3"/>
    </row>
    <row r="13" spans="1:22" x14ac:dyDescent="0.25">
      <c r="A13" s="7" t="s">
        <v>191</v>
      </c>
      <c r="B13" s="3"/>
      <c r="C13" s="3"/>
      <c r="D13" s="3"/>
      <c r="E13" s="3"/>
      <c r="F13" s="3"/>
      <c r="G13" s="3"/>
      <c r="H13" s="3"/>
      <c r="I13" s="3"/>
      <c r="J13" s="3"/>
      <c r="K13" s="3"/>
      <c r="L13" s="3"/>
      <c r="M13" s="3"/>
      <c r="N13" s="3"/>
      <c r="O13" s="3"/>
      <c r="P13" s="3"/>
      <c r="Q13" s="3"/>
      <c r="R13" s="3"/>
      <c r="S13" s="3"/>
      <c r="T13" s="3"/>
      <c r="U13" s="3"/>
      <c r="V13" s="3"/>
    </row>
    <row r="14" spans="1:22" x14ac:dyDescent="0.25">
      <c r="A14" s="7" t="s">
        <v>192</v>
      </c>
      <c r="B14" s="3"/>
      <c r="C14" s="3"/>
      <c r="D14" s="3"/>
      <c r="E14" s="3"/>
      <c r="F14" s="3"/>
      <c r="G14" s="3"/>
      <c r="H14" s="3"/>
      <c r="I14" s="3"/>
      <c r="J14" s="3"/>
      <c r="K14" s="3"/>
      <c r="L14" s="3"/>
      <c r="M14" s="3"/>
      <c r="N14" s="3"/>
      <c r="O14" s="3"/>
      <c r="P14" s="3"/>
      <c r="Q14" s="3"/>
      <c r="R14" s="3"/>
      <c r="S14" s="3"/>
      <c r="T14" s="3"/>
      <c r="U14" s="3"/>
      <c r="V14" s="3"/>
    </row>
    <row r="15" spans="1:22" x14ac:dyDescent="0.25">
      <c r="A15" s="7" t="s">
        <v>193</v>
      </c>
      <c r="B15" s="3"/>
      <c r="C15" s="3"/>
      <c r="D15" s="3"/>
      <c r="E15" s="3"/>
      <c r="F15" s="3"/>
      <c r="G15" s="3"/>
      <c r="H15" s="3"/>
      <c r="I15" s="3"/>
      <c r="J15" s="3"/>
      <c r="K15" s="3"/>
      <c r="L15" s="3"/>
      <c r="M15" s="3"/>
      <c r="N15" s="3">
        <v>16.1094673352715</v>
      </c>
      <c r="O15" s="3"/>
      <c r="P15" s="3"/>
      <c r="Q15" s="3">
        <v>22.185155616302101</v>
      </c>
      <c r="R15" s="3">
        <v>24.5585425215878</v>
      </c>
      <c r="S15" s="3"/>
      <c r="T15" s="3"/>
      <c r="U15" s="3"/>
      <c r="V15" s="3"/>
    </row>
    <row r="16" spans="1:22" x14ac:dyDescent="0.25">
      <c r="A16" s="7" t="s">
        <v>249</v>
      </c>
      <c r="B16" s="3"/>
      <c r="C16" s="3"/>
      <c r="D16" s="3"/>
      <c r="E16" s="3"/>
      <c r="F16" s="3"/>
      <c r="G16" s="3"/>
      <c r="H16" s="3"/>
      <c r="I16" s="3"/>
      <c r="J16" s="3"/>
      <c r="K16" s="3"/>
      <c r="L16" s="3"/>
      <c r="M16" s="3"/>
      <c r="N16" s="3"/>
      <c r="O16" s="3"/>
      <c r="P16" s="3"/>
      <c r="Q16" s="3"/>
      <c r="R16" s="3"/>
      <c r="S16" s="3"/>
      <c r="T16" s="3"/>
      <c r="U16" s="3"/>
      <c r="V16" s="3"/>
    </row>
    <row r="17" spans="1:22" x14ac:dyDescent="0.25">
      <c r="A17" s="7" t="s">
        <v>194</v>
      </c>
      <c r="B17" s="3"/>
      <c r="C17" s="3"/>
      <c r="D17" s="3"/>
      <c r="E17" s="3"/>
      <c r="F17" s="3"/>
      <c r="G17" s="3"/>
      <c r="H17" s="3"/>
      <c r="I17" s="3"/>
      <c r="J17" s="3"/>
      <c r="K17" s="3"/>
      <c r="L17" s="3"/>
      <c r="M17" s="3"/>
      <c r="N17" s="3"/>
      <c r="O17" s="3"/>
      <c r="P17" s="3"/>
      <c r="Q17" s="3"/>
      <c r="R17" s="3"/>
      <c r="S17" s="3"/>
      <c r="T17" s="3"/>
      <c r="U17" s="3"/>
      <c r="V17" s="3"/>
    </row>
    <row r="18" spans="1:22" x14ac:dyDescent="0.25">
      <c r="A18" s="7" t="s">
        <v>195</v>
      </c>
      <c r="B18" s="3"/>
      <c r="C18" s="3"/>
      <c r="D18" s="3"/>
      <c r="E18" s="3"/>
      <c r="F18" s="3"/>
      <c r="G18" s="3"/>
      <c r="H18" s="3"/>
      <c r="I18" s="3"/>
      <c r="J18" s="3"/>
      <c r="K18" s="3"/>
      <c r="L18" s="3"/>
      <c r="M18" s="3"/>
      <c r="N18" s="3"/>
      <c r="O18" s="3"/>
      <c r="P18" s="3"/>
      <c r="Q18" s="3"/>
      <c r="R18" s="3"/>
      <c r="S18" s="3"/>
      <c r="T18" s="3"/>
      <c r="U18" s="3"/>
      <c r="V18" s="3"/>
    </row>
    <row r="19" spans="1:22" x14ac:dyDescent="0.25">
      <c r="A19" s="7" t="s">
        <v>196</v>
      </c>
      <c r="B19" s="3"/>
      <c r="C19" s="3"/>
      <c r="D19" s="3"/>
      <c r="E19" s="3"/>
      <c r="F19" s="3"/>
      <c r="G19" s="3"/>
      <c r="H19" s="3"/>
      <c r="I19" s="3"/>
      <c r="J19" s="3"/>
      <c r="K19" s="3"/>
      <c r="L19" s="3"/>
      <c r="M19" s="3"/>
      <c r="N19" s="3"/>
      <c r="O19" s="3"/>
      <c r="P19" s="3"/>
      <c r="Q19" s="3"/>
      <c r="R19" s="3"/>
      <c r="S19" s="3"/>
      <c r="T19" s="3"/>
      <c r="U19" s="3"/>
      <c r="V19" s="3"/>
    </row>
    <row r="20" spans="1:22" x14ac:dyDescent="0.25">
      <c r="A20" s="7" t="s">
        <v>197</v>
      </c>
      <c r="B20" s="3"/>
      <c r="C20" s="3"/>
      <c r="D20" s="3"/>
      <c r="E20" s="3"/>
      <c r="F20" s="3"/>
      <c r="G20" s="3"/>
      <c r="H20" s="3"/>
      <c r="I20" s="3"/>
      <c r="J20" s="3"/>
      <c r="K20" s="3"/>
      <c r="L20" s="3"/>
      <c r="M20" s="3"/>
      <c r="N20" s="3"/>
      <c r="O20" s="3"/>
      <c r="P20" s="3">
        <v>9.0819969097388604</v>
      </c>
      <c r="Q20" s="3"/>
      <c r="R20" s="3"/>
      <c r="S20" s="3"/>
      <c r="T20" s="3"/>
      <c r="U20" s="3"/>
      <c r="V20" s="3"/>
    </row>
    <row r="21" spans="1:22" x14ac:dyDescent="0.25">
      <c r="A21" s="7" t="s">
        <v>198</v>
      </c>
      <c r="B21" s="3"/>
      <c r="C21" s="3"/>
      <c r="D21" s="3"/>
      <c r="E21" s="3"/>
      <c r="F21" s="3"/>
      <c r="G21" s="3"/>
      <c r="H21" s="3"/>
      <c r="I21" s="3"/>
      <c r="J21" s="3"/>
      <c r="K21" s="3"/>
      <c r="L21" s="3"/>
      <c r="M21" s="3"/>
      <c r="N21" s="3"/>
      <c r="O21" s="3"/>
      <c r="P21" s="3"/>
      <c r="Q21" s="3"/>
      <c r="R21" s="3"/>
      <c r="S21" s="3"/>
      <c r="T21" s="3"/>
      <c r="U21" s="3"/>
      <c r="V21" s="3"/>
    </row>
    <row r="22" spans="1:22" x14ac:dyDescent="0.25">
      <c r="A22" s="7" t="s">
        <v>199</v>
      </c>
      <c r="B22" s="3"/>
      <c r="C22" s="3"/>
      <c r="D22" s="3"/>
      <c r="E22" s="3"/>
      <c r="F22" s="3"/>
      <c r="G22" s="3"/>
      <c r="H22" s="3"/>
      <c r="I22" s="3"/>
      <c r="J22" s="3"/>
      <c r="K22" s="3"/>
      <c r="L22" s="3"/>
      <c r="M22" s="3"/>
      <c r="N22" s="3"/>
      <c r="O22" s="3"/>
      <c r="P22" s="3"/>
      <c r="Q22" s="3"/>
      <c r="R22" s="3"/>
      <c r="S22" s="3"/>
      <c r="T22" s="3"/>
      <c r="U22" s="3"/>
      <c r="V22" s="3"/>
    </row>
    <row r="23" spans="1:22" x14ac:dyDescent="0.25">
      <c r="A23" s="7" t="s">
        <v>200</v>
      </c>
      <c r="B23" s="3"/>
      <c r="C23" s="3"/>
      <c r="D23" s="3"/>
      <c r="E23" s="3"/>
      <c r="F23" s="3"/>
      <c r="G23" s="3"/>
      <c r="H23" s="3"/>
      <c r="I23" s="3"/>
      <c r="J23" s="3"/>
      <c r="K23" s="3"/>
      <c r="L23" s="3"/>
      <c r="M23" s="3"/>
      <c r="N23" s="3"/>
      <c r="O23" s="3"/>
      <c r="P23" s="3"/>
      <c r="Q23" s="3"/>
      <c r="R23" s="3"/>
      <c r="S23" s="3"/>
      <c r="T23" s="3"/>
      <c r="U23" s="3"/>
      <c r="V23" s="3"/>
    </row>
    <row r="24" spans="1:22" x14ac:dyDescent="0.25">
      <c r="A24" s="7" t="s">
        <v>201</v>
      </c>
      <c r="B24" s="3"/>
      <c r="C24" s="3"/>
      <c r="D24" s="3"/>
      <c r="E24" s="3"/>
      <c r="F24" s="3"/>
      <c r="G24" s="3"/>
      <c r="H24" s="3"/>
      <c r="I24" s="3"/>
      <c r="J24" s="3"/>
      <c r="K24" s="3"/>
      <c r="L24" s="3"/>
      <c r="M24" s="3"/>
      <c r="N24" s="3"/>
      <c r="O24" s="3"/>
      <c r="P24" s="3"/>
      <c r="Q24" s="3"/>
      <c r="R24" s="3"/>
      <c r="S24" s="3"/>
      <c r="T24" s="3"/>
      <c r="U24" s="3"/>
      <c r="V24" s="3"/>
    </row>
    <row r="25" spans="1:22" x14ac:dyDescent="0.25">
      <c r="A25" s="7" t="s">
        <v>202</v>
      </c>
      <c r="B25" s="3"/>
      <c r="C25" s="3"/>
      <c r="D25" s="3"/>
      <c r="E25" s="3"/>
      <c r="F25" s="3"/>
      <c r="G25" s="3"/>
      <c r="H25" s="3"/>
      <c r="I25" s="3"/>
      <c r="J25" s="3"/>
      <c r="K25" s="3"/>
      <c r="L25" s="3"/>
      <c r="M25" s="3"/>
      <c r="N25" s="3"/>
      <c r="O25" s="3"/>
      <c r="P25" s="3"/>
      <c r="Q25" s="3"/>
      <c r="R25" s="3"/>
      <c r="S25" s="3"/>
      <c r="T25" s="3"/>
      <c r="U25" s="3"/>
      <c r="V25" s="3"/>
    </row>
    <row r="26" spans="1:22" x14ac:dyDescent="0.25">
      <c r="A26" s="7" t="s">
        <v>203</v>
      </c>
      <c r="B26" s="3"/>
      <c r="C26" s="3"/>
      <c r="D26" s="3"/>
      <c r="E26" s="3"/>
      <c r="F26" s="3"/>
      <c r="G26" s="3"/>
      <c r="H26" s="3"/>
      <c r="I26" s="3"/>
      <c r="J26" s="3"/>
      <c r="K26" s="3"/>
      <c r="L26" s="3"/>
      <c r="M26" s="3"/>
      <c r="N26" s="3">
        <v>13.772351597067599</v>
      </c>
      <c r="O26" s="3"/>
      <c r="P26" s="3"/>
      <c r="Q26" s="3"/>
      <c r="R26" s="3"/>
      <c r="S26" s="3"/>
      <c r="T26" s="3"/>
      <c r="U26" s="3"/>
      <c r="V26" s="3"/>
    </row>
    <row r="27" spans="1:22" x14ac:dyDescent="0.25">
      <c r="A27" s="7" t="s">
        <v>204</v>
      </c>
      <c r="B27" s="3"/>
      <c r="C27" s="3"/>
      <c r="D27" s="3"/>
      <c r="E27" s="3"/>
      <c r="F27" s="3"/>
      <c r="G27" s="3"/>
      <c r="H27" s="3"/>
      <c r="I27" s="3"/>
      <c r="J27" s="3"/>
      <c r="K27" s="3"/>
      <c r="L27" s="3"/>
      <c r="M27" s="3"/>
      <c r="N27" s="3"/>
      <c r="O27" s="3"/>
      <c r="P27" s="3"/>
      <c r="Q27" s="3"/>
      <c r="R27" s="3"/>
      <c r="S27" s="3"/>
      <c r="T27" s="3"/>
      <c r="U27" s="3"/>
      <c r="V27" s="3"/>
    </row>
    <row r="28" spans="1:22" x14ac:dyDescent="0.25">
      <c r="A28" s="7" t="s">
        <v>205</v>
      </c>
      <c r="B28" s="3"/>
      <c r="C28" s="3"/>
      <c r="D28" s="3"/>
      <c r="E28" s="3"/>
      <c r="F28" s="3"/>
      <c r="G28" s="3"/>
      <c r="H28" s="3"/>
      <c r="I28" s="3"/>
      <c r="J28" s="3"/>
      <c r="K28" s="3"/>
      <c r="L28" s="3"/>
      <c r="M28" s="3"/>
      <c r="N28" s="3"/>
      <c r="O28" s="3"/>
      <c r="P28" s="3"/>
      <c r="Q28" s="3"/>
      <c r="R28" s="3"/>
      <c r="S28" s="3"/>
      <c r="T28" s="3"/>
      <c r="U28" s="3"/>
      <c r="V28" s="3"/>
    </row>
    <row r="29" spans="1:22" x14ac:dyDescent="0.25">
      <c r="A29" s="7" t="s">
        <v>206</v>
      </c>
      <c r="B29" s="3"/>
      <c r="C29" s="3"/>
      <c r="D29" s="3"/>
      <c r="E29" s="3"/>
      <c r="F29" s="3"/>
      <c r="G29" s="3"/>
      <c r="H29" s="3"/>
      <c r="I29" s="3"/>
      <c r="J29" s="3"/>
      <c r="K29" s="3"/>
      <c r="L29" s="3"/>
      <c r="M29" s="3"/>
      <c r="N29" s="3"/>
      <c r="O29" s="3"/>
      <c r="P29" s="3"/>
      <c r="Q29" s="3"/>
      <c r="R29" s="3"/>
      <c r="S29" s="3"/>
      <c r="T29" s="3"/>
      <c r="U29" s="3"/>
      <c r="V29" s="3"/>
    </row>
    <row r="30" spans="1:22" x14ac:dyDescent="0.25">
      <c r="A30" s="7" t="s">
        <v>207</v>
      </c>
      <c r="B30" s="3"/>
      <c r="C30" s="3"/>
      <c r="D30" s="3"/>
      <c r="E30" s="3"/>
      <c r="F30" s="3"/>
      <c r="G30" s="3"/>
      <c r="H30" s="3"/>
      <c r="I30" s="3"/>
      <c r="J30" s="3"/>
      <c r="K30" s="3"/>
      <c r="L30" s="3"/>
      <c r="M30" s="3"/>
      <c r="N30" s="3"/>
      <c r="O30" s="3"/>
      <c r="P30" s="3"/>
      <c r="Q30" s="3"/>
      <c r="R30" s="3">
        <v>13.478821136934799</v>
      </c>
      <c r="S30" s="3"/>
      <c r="T30" s="3"/>
      <c r="U30" s="3"/>
      <c r="V30" s="3"/>
    </row>
    <row r="31" spans="1:22" x14ac:dyDescent="0.25">
      <c r="A31" s="7" t="s">
        <v>208</v>
      </c>
      <c r="B31" s="3"/>
      <c r="C31" s="3"/>
      <c r="D31" s="3"/>
      <c r="E31" s="3"/>
      <c r="F31" s="3"/>
      <c r="G31" s="3"/>
      <c r="H31" s="3"/>
      <c r="I31" s="3"/>
      <c r="J31" s="3"/>
      <c r="K31" s="3"/>
      <c r="L31" s="3"/>
      <c r="M31" s="3"/>
      <c r="N31" s="3"/>
      <c r="O31" s="3"/>
      <c r="P31" s="3"/>
      <c r="Q31" s="3"/>
      <c r="R31" s="3"/>
      <c r="S31" s="3"/>
      <c r="T31" s="3"/>
      <c r="U31" s="3"/>
      <c r="V31" s="3"/>
    </row>
    <row r="32" spans="1:22" x14ac:dyDescent="0.25">
      <c r="A32" s="7" t="s">
        <v>209</v>
      </c>
      <c r="B32" s="3"/>
      <c r="C32" s="3">
        <v>21.928529390507101</v>
      </c>
      <c r="D32" s="3"/>
      <c r="E32" s="3"/>
      <c r="F32" s="3"/>
      <c r="G32" s="3"/>
      <c r="H32" s="3"/>
      <c r="I32" s="3"/>
      <c r="J32" s="3"/>
      <c r="K32" s="3"/>
      <c r="L32" s="3"/>
      <c r="M32" s="3"/>
      <c r="N32" s="3"/>
      <c r="O32" s="3"/>
      <c r="P32" s="3"/>
      <c r="Q32" s="3"/>
      <c r="R32" s="3"/>
      <c r="S32" s="3"/>
      <c r="T32" s="3"/>
      <c r="U32" s="3"/>
      <c r="V32" s="3"/>
    </row>
    <row r="33" spans="1:22" x14ac:dyDescent="0.25">
      <c r="A33" s="7" t="s">
        <v>210</v>
      </c>
      <c r="B33" s="3"/>
      <c r="C33" s="3"/>
      <c r="D33" s="3"/>
      <c r="E33" s="3"/>
      <c r="F33" s="3"/>
      <c r="G33" s="3"/>
      <c r="H33" s="3"/>
      <c r="I33" s="3"/>
      <c r="J33" s="3"/>
      <c r="K33" s="3"/>
      <c r="L33" s="3">
        <v>2.5592068528578999</v>
      </c>
      <c r="M33" s="3"/>
      <c r="N33" s="3"/>
      <c r="O33" s="3"/>
      <c r="P33" s="3"/>
      <c r="Q33" s="3"/>
      <c r="R33" s="3"/>
      <c r="S33" s="3"/>
      <c r="T33" s="3"/>
      <c r="U33" s="3"/>
      <c r="V33" s="3"/>
    </row>
    <row r="34" spans="1:22" x14ac:dyDescent="0.25">
      <c r="A34" s="7" t="s">
        <v>211</v>
      </c>
      <c r="B34" s="3"/>
      <c r="C34" s="3"/>
      <c r="D34" s="3"/>
      <c r="E34" s="3"/>
      <c r="F34" s="3"/>
      <c r="G34" s="3"/>
      <c r="H34" s="3"/>
      <c r="I34" s="3"/>
      <c r="J34" s="3"/>
      <c r="K34" s="3"/>
      <c r="L34" s="3"/>
      <c r="M34" s="3"/>
      <c r="N34" s="3"/>
      <c r="O34" s="3"/>
      <c r="P34" s="3"/>
      <c r="Q34" s="3"/>
      <c r="R34" s="3"/>
      <c r="S34" s="3"/>
      <c r="T34" s="3"/>
      <c r="U34" s="3"/>
      <c r="V34" s="3"/>
    </row>
    <row r="35" spans="1:22" x14ac:dyDescent="0.25">
      <c r="A35" s="7" t="s">
        <v>212</v>
      </c>
      <c r="B35" s="3"/>
      <c r="C35" s="3"/>
      <c r="D35" s="3"/>
      <c r="E35" s="3"/>
      <c r="F35" s="3"/>
      <c r="G35" s="3"/>
      <c r="H35" s="3"/>
      <c r="I35" s="3">
        <v>0.16054043742576499</v>
      </c>
      <c r="J35" s="3"/>
      <c r="K35" s="3"/>
      <c r="L35" s="3"/>
      <c r="M35" s="3"/>
      <c r="N35" s="3"/>
      <c r="O35" s="3"/>
      <c r="P35" s="3"/>
      <c r="Q35" s="3"/>
      <c r="R35" s="3"/>
      <c r="S35" s="3"/>
      <c r="T35" s="3"/>
      <c r="U35" s="3"/>
      <c r="V35" s="3"/>
    </row>
    <row r="36" spans="1:22" x14ac:dyDescent="0.25">
      <c r="A36" s="7" t="s">
        <v>213</v>
      </c>
      <c r="B36" s="3"/>
      <c r="C36" s="3"/>
      <c r="D36" s="3"/>
      <c r="E36" s="3"/>
      <c r="F36" s="3"/>
      <c r="G36" s="3"/>
      <c r="H36" s="3"/>
      <c r="I36" s="3"/>
      <c r="J36" s="3"/>
      <c r="K36" s="3"/>
      <c r="L36" s="3"/>
      <c r="M36" s="3"/>
      <c r="N36" s="3"/>
      <c r="O36" s="3"/>
      <c r="P36" s="3"/>
      <c r="Q36" s="3"/>
      <c r="R36" s="3"/>
      <c r="S36" s="3"/>
      <c r="T36" s="3"/>
      <c r="U36" s="3"/>
      <c r="V36" s="3"/>
    </row>
    <row r="37" spans="1:22" x14ac:dyDescent="0.25">
      <c r="A37" s="7" t="s">
        <v>214</v>
      </c>
      <c r="B37" s="3"/>
      <c r="C37" s="3"/>
      <c r="D37" s="3"/>
      <c r="E37" s="3"/>
      <c r="F37" s="3"/>
      <c r="G37" s="3"/>
      <c r="H37" s="3"/>
      <c r="I37" s="3"/>
      <c r="J37" s="3"/>
      <c r="K37" s="3"/>
      <c r="L37" s="3"/>
      <c r="M37" s="3"/>
      <c r="N37" s="3"/>
      <c r="O37" s="3"/>
      <c r="P37" s="3"/>
      <c r="Q37" s="3"/>
      <c r="R37" s="3"/>
      <c r="S37" s="3"/>
      <c r="T37" s="3"/>
      <c r="U37" s="3"/>
      <c r="V37" s="3"/>
    </row>
    <row r="38" spans="1:22" x14ac:dyDescent="0.25">
      <c r="A38" s="7" t="s">
        <v>215</v>
      </c>
      <c r="B38" s="3"/>
      <c r="C38" s="3"/>
      <c r="D38" s="3"/>
      <c r="E38" s="3"/>
      <c r="F38" s="3"/>
      <c r="G38" s="3"/>
      <c r="H38" s="3"/>
      <c r="I38" s="3"/>
      <c r="J38" s="3"/>
      <c r="K38" s="3"/>
      <c r="L38" s="3"/>
      <c r="M38" s="3"/>
      <c r="N38" s="3"/>
      <c r="O38" s="3"/>
      <c r="P38" s="3"/>
      <c r="Q38" s="3"/>
      <c r="R38" s="3"/>
      <c r="S38" s="3"/>
      <c r="T38" s="3"/>
      <c r="U38" s="3"/>
      <c r="V38" s="3"/>
    </row>
    <row r="39" spans="1:22" x14ac:dyDescent="0.25">
      <c r="A39" s="7" t="s">
        <v>216</v>
      </c>
      <c r="B39" s="3"/>
      <c r="C39" s="3"/>
      <c r="D39" s="3">
        <v>2.2345761991309399</v>
      </c>
      <c r="E39" s="3"/>
      <c r="F39" s="3"/>
      <c r="G39" s="3"/>
      <c r="H39" s="3"/>
      <c r="I39" s="3"/>
      <c r="J39" s="3"/>
      <c r="K39" s="3"/>
      <c r="L39" s="3"/>
      <c r="M39" s="3"/>
      <c r="N39" s="3"/>
      <c r="O39" s="3"/>
      <c r="P39" s="3"/>
      <c r="Q39" s="3"/>
      <c r="R39" s="3"/>
      <c r="S39" s="3"/>
      <c r="T39" s="3"/>
      <c r="U39" s="3"/>
      <c r="V39" s="3"/>
    </row>
    <row r="40" spans="1:22" x14ac:dyDescent="0.25">
      <c r="A40" s="7" t="s">
        <v>217</v>
      </c>
      <c r="B40" s="3"/>
      <c r="C40" s="3"/>
      <c r="D40" s="3"/>
      <c r="E40" s="3"/>
      <c r="F40" s="3"/>
      <c r="G40" s="3"/>
      <c r="H40" s="3"/>
      <c r="I40" s="3"/>
      <c r="J40" s="3"/>
      <c r="K40" s="3"/>
      <c r="L40" s="3"/>
      <c r="M40" s="3"/>
      <c r="N40" s="3"/>
      <c r="O40" s="3"/>
      <c r="P40" s="3"/>
      <c r="Q40" s="3"/>
      <c r="R40" s="3"/>
      <c r="S40" s="3"/>
      <c r="T40" s="3"/>
      <c r="U40" s="3"/>
      <c r="V40" s="3"/>
    </row>
    <row r="41" spans="1:22" x14ac:dyDescent="0.25">
      <c r="A41" s="7" t="s">
        <v>218</v>
      </c>
      <c r="B41" s="3"/>
      <c r="C41" s="3"/>
      <c r="D41" s="3"/>
      <c r="E41" s="3"/>
      <c r="F41" s="3"/>
      <c r="G41" s="3"/>
      <c r="H41" s="3"/>
      <c r="I41" s="3"/>
      <c r="J41" s="3"/>
      <c r="K41" s="3"/>
      <c r="L41" s="3"/>
      <c r="M41" s="3"/>
      <c r="N41" s="3"/>
      <c r="O41" s="3"/>
      <c r="P41" s="3"/>
      <c r="Q41" s="3"/>
      <c r="R41" s="3"/>
      <c r="S41" s="3"/>
      <c r="T41" s="3"/>
      <c r="U41" s="3"/>
      <c r="V41" s="3"/>
    </row>
    <row r="42" spans="1:22" x14ac:dyDescent="0.25">
      <c r="A42" s="7" t="s">
        <v>219</v>
      </c>
      <c r="B42" s="3"/>
      <c r="C42" s="3"/>
      <c r="D42" s="3"/>
      <c r="E42" s="3"/>
      <c r="F42" s="3"/>
      <c r="G42" s="3"/>
      <c r="H42" s="3"/>
      <c r="I42" s="3"/>
      <c r="J42" s="3"/>
      <c r="K42" s="3"/>
      <c r="L42" s="3"/>
      <c r="M42" s="3"/>
      <c r="N42" s="3"/>
      <c r="O42" s="3"/>
      <c r="P42" s="3"/>
      <c r="Q42" s="3"/>
      <c r="R42" s="3"/>
      <c r="S42" s="3"/>
      <c r="T42" s="3"/>
      <c r="U42" s="3"/>
      <c r="V42" s="3"/>
    </row>
    <row r="43" spans="1:22" x14ac:dyDescent="0.25">
      <c r="A43" s="7" t="s">
        <v>220</v>
      </c>
      <c r="B43" s="3"/>
      <c r="C43" s="3"/>
      <c r="D43" s="3"/>
      <c r="E43" s="3"/>
      <c r="F43" s="3"/>
      <c r="G43" s="3"/>
      <c r="H43" s="3"/>
      <c r="I43" s="3"/>
      <c r="J43" s="3"/>
      <c r="K43" s="3"/>
      <c r="L43" s="3"/>
      <c r="M43" s="3"/>
      <c r="N43" s="3"/>
      <c r="O43" s="3"/>
      <c r="P43" s="3"/>
      <c r="Q43" s="3"/>
      <c r="R43" s="3"/>
      <c r="S43" s="3"/>
      <c r="T43" s="3"/>
      <c r="U43" s="3"/>
      <c r="V43" s="3"/>
    </row>
    <row r="44" spans="1:22" x14ac:dyDescent="0.25">
      <c r="A44" s="7" t="s">
        <v>221</v>
      </c>
      <c r="B44" s="3"/>
      <c r="C44" s="3"/>
      <c r="D44" s="3"/>
      <c r="E44" s="3"/>
      <c r="F44" s="3"/>
      <c r="G44" s="3"/>
      <c r="H44" s="3"/>
      <c r="I44" s="3"/>
      <c r="J44" s="3"/>
      <c r="K44" s="3"/>
      <c r="L44" s="3"/>
      <c r="M44" s="3"/>
      <c r="N44" s="3"/>
      <c r="O44" s="3"/>
      <c r="P44" s="3"/>
      <c r="Q44" s="3"/>
      <c r="R44" s="3"/>
      <c r="S44" s="3"/>
      <c r="T44" s="3"/>
      <c r="U44" s="3"/>
      <c r="V44" s="3"/>
    </row>
    <row r="45" spans="1:22" x14ac:dyDescent="0.25">
      <c r="A45" s="7" t="s">
        <v>222</v>
      </c>
      <c r="B45" s="3"/>
      <c r="C45" s="3"/>
      <c r="D45" s="3"/>
      <c r="E45" s="3"/>
      <c r="F45" s="3"/>
      <c r="G45" s="3"/>
      <c r="H45" s="3"/>
      <c r="I45" s="3"/>
      <c r="J45" s="3"/>
      <c r="K45" s="3"/>
      <c r="L45" s="3"/>
      <c r="M45" s="3"/>
      <c r="N45" s="3"/>
      <c r="O45" s="3"/>
      <c r="P45" s="3"/>
      <c r="Q45" s="3"/>
      <c r="R45" s="3"/>
      <c r="S45" s="3"/>
      <c r="T45" s="3"/>
      <c r="U45" s="3"/>
      <c r="V45" s="3"/>
    </row>
    <row r="46" spans="1:22" x14ac:dyDescent="0.25">
      <c r="A46" s="7" t="s">
        <v>223</v>
      </c>
      <c r="B46" s="3"/>
      <c r="C46" s="3"/>
      <c r="D46" s="3"/>
      <c r="E46" s="3"/>
      <c r="F46" s="3"/>
      <c r="G46" s="3"/>
      <c r="H46" s="3"/>
      <c r="I46" s="3"/>
      <c r="J46" s="3"/>
      <c r="K46" s="3"/>
      <c r="L46" s="3"/>
      <c r="M46" s="3"/>
      <c r="N46" s="3"/>
      <c r="O46" s="3"/>
      <c r="P46" s="3"/>
      <c r="Q46" s="3"/>
      <c r="R46" s="3"/>
      <c r="S46" s="3"/>
      <c r="T46" s="3"/>
      <c r="U46" s="3"/>
      <c r="V46" s="3"/>
    </row>
    <row r="47" spans="1:22" x14ac:dyDescent="0.25">
      <c r="A47" s="7" t="s">
        <v>224</v>
      </c>
      <c r="B47" s="3"/>
      <c r="C47" s="3"/>
      <c r="D47" s="3"/>
      <c r="E47" s="3"/>
      <c r="F47" s="3"/>
      <c r="G47" s="3"/>
      <c r="H47" s="3"/>
      <c r="I47" s="3"/>
      <c r="J47" s="3"/>
      <c r="K47" s="3"/>
      <c r="L47" s="3"/>
      <c r="M47" s="3"/>
      <c r="N47" s="3"/>
      <c r="O47" s="3"/>
      <c r="P47" s="3"/>
      <c r="Q47" s="3"/>
      <c r="R47" s="3"/>
      <c r="S47" s="3"/>
      <c r="T47" s="3"/>
      <c r="U47" s="3"/>
      <c r="V47" s="3"/>
    </row>
    <row r="48" spans="1:22" x14ac:dyDescent="0.25">
      <c r="A48" s="7" t="s">
        <v>225</v>
      </c>
      <c r="B48" s="3"/>
      <c r="C48" s="3"/>
      <c r="D48" s="3"/>
      <c r="E48" s="3"/>
      <c r="F48" s="3"/>
      <c r="G48" s="3"/>
      <c r="H48" s="3"/>
      <c r="I48" s="3">
        <v>6.7151036115987797</v>
      </c>
      <c r="J48" s="3"/>
      <c r="K48" s="3"/>
      <c r="L48" s="3"/>
      <c r="M48" s="3"/>
      <c r="N48" s="3"/>
      <c r="O48" s="3">
        <v>16.0703423464068</v>
      </c>
      <c r="P48" s="3"/>
      <c r="Q48" s="3"/>
      <c r="R48" s="3"/>
      <c r="S48" s="3"/>
      <c r="T48" s="3"/>
      <c r="U48" s="3"/>
      <c r="V48" s="3"/>
    </row>
    <row r="49" spans="1:22" x14ac:dyDescent="0.25">
      <c r="A49" s="9" t="s">
        <v>170</v>
      </c>
      <c r="B49" s="11"/>
      <c r="C49" s="11"/>
      <c r="D49" s="11"/>
      <c r="E49" s="11"/>
      <c r="F49" s="11"/>
      <c r="G49" s="11"/>
      <c r="H49" s="11"/>
      <c r="I49" s="11"/>
      <c r="J49" s="11"/>
      <c r="K49" s="11"/>
      <c r="L49" s="11"/>
      <c r="M49" s="11"/>
      <c r="N49" s="11"/>
      <c r="O49" s="11"/>
      <c r="P49" s="11"/>
      <c r="Q49" s="11"/>
      <c r="R49" s="11"/>
      <c r="S49" s="3"/>
      <c r="T49" s="3"/>
      <c r="U49" s="3"/>
      <c r="V49" s="3"/>
    </row>
    <row r="50" spans="1:22" x14ac:dyDescent="0.25">
      <c r="A50" s="7" t="s">
        <v>183</v>
      </c>
      <c r="B50" s="3"/>
      <c r="C50" s="3"/>
      <c r="D50" s="3"/>
      <c r="E50" s="3"/>
      <c r="F50" s="3"/>
      <c r="G50" s="3"/>
      <c r="H50" s="3"/>
      <c r="I50" s="3"/>
      <c r="J50" s="3"/>
      <c r="K50" s="3"/>
      <c r="L50" s="3"/>
      <c r="M50" s="3"/>
      <c r="N50" s="3"/>
      <c r="O50" s="3"/>
      <c r="P50" s="3"/>
      <c r="Q50" s="3"/>
      <c r="R50" s="3"/>
      <c r="S50" s="3"/>
      <c r="T50" s="3"/>
      <c r="U50" s="3"/>
      <c r="V50" s="3"/>
    </row>
    <row r="51" spans="1:22" x14ac:dyDescent="0.25">
      <c r="A51" s="7" t="s">
        <v>184</v>
      </c>
      <c r="B51" s="3"/>
      <c r="C51" s="3"/>
      <c r="D51" s="3"/>
      <c r="E51" s="3"/>
      <c r="F51" s="3"/>
      <c r="G51" s="3"/>
      <c r="H51" s="3"/>
      <c r="I51" s="3"/>
      <c r="J51" s="3"/>
      <c r="K51" s="3"/>
      <c r="L51" s="3"/>
      <c r="M51" s="3"/>
      <c r="N51" s="3"/>
      <c r="O51" s="3"/>
      <c r="P51" s="3"/>
      <c r="Q51" s="3"/>
      <c r="R51" s="3"/>
      <c r="S51" s="3"/>
      <c r="T51" s="3"/>
      <c r="U51" s="3"/>
      <c r="V51" s="3"/>
    </row>
    <row r="52" spans="1:22" x14ac:dyDescent="0.25">
      <c r="A52" s="7" t="s">
        <v>185</v>
      </c>
      <c r="B52" s="3"/>
      <c r="C52" s="3"/>
      <c r="D52" s="3"/>
      <c r="E52" s="3"/>
      <c r="F52" s="3"/>
      <c r="G52" s="3"/>
      <c r="H52" s="3"/>
      <c r="I52" s="3"/>
      <c r="J52" s="3"/>
      <c r="K52" s="3"/>
      <c r="L52" s="3"/>
      <c r="M52" s="3"/>
      <c r="N52" s="3"/>
      <c r="O52" s="3"/>
      <c r="P52" s="3"/>
      <c r="Q52" s="3"/>
      <c r="R52" s="3"/>
      <c r="S52" s="3"/>
      <c r="T52" s="3"/>
      <c r="U52" s="3"/>
      <c r="V52" s="3"/>
    </row>
    <row r="53" spans="1:22" x14ac:dyDescent="0.25">
      <c r="A53" s="7" t="s">
        <v>186</v>
      </c>
      <c r="B53" s="3"/>
      <c r="C53" s="3"/>
      <c r="D53" s="3"/>
      <c r="E53" s="3"/>
      <c r="F53" s="3"/>
      <c r="G53" s="3"/>
      <c r="H53" s="3"/>
      <c r="I53" s="3"/>
      <c r="J53" s="3"/>
      <c r="K53" s="3"/>
      <c r="L53" s="3"/>
      <c r="M53" s="3"/>
      <c r="N53" s="3"/>
      <c r="O53" s="3"/>
      <c r="P53" s="3"/>
      <c r="Q53" s="3"/>
      <c r="R53" s="3"/>
      <c r="S53" s="3"/>
      <c r="T53" s="3"/>
      <c r="U53" s="3"/>
      <c r="V53" s="3"/>
    </row>
    <row r="54" spans="1:22" x14ac:dyDescent="0.25">
      <c r="A54" s="7" t="s">
        <v>187</v>
      </c>
      <c r="B54" s="3"/>
      <c r="C54" s="3"/>
      <c r="D54" s="3"/>
      <c r="E54" s="3"/>
      <c r="F54" s="3"/>
      <c r="G54" s="3"/>
      <c r="H54" s="3"/>
      <c r="I54" s="3"/>
      <c r="J54" s="3"/>
      <c r="K54" s="3"/>
      <c r="L54" s="3"/>
      <c r="M54" s="3"/>
      <c r="N54" s="3"/>
      <c r="O54" s="3"/>
      <c r="P54" s="3"/>
      <c r="Q54" s="3"/>
      <c r="R54" s="3"/>
      <c r="S54" s="3"/>
      <c r="T54" s="3"/>
      <c r="U54" s="3"/>
      <c r="V54" s="3"/>
    </row>
    <row r="55" spans="1:22" x14ac:dyDescent="0.25">
      <c r="A55" s="7" t="s">
        <v>189</v>
      </c>
      <c r="B55" s="3"/>
      <c r="C55" s="3"/>
      <c r="D55" s="3"/>
      <c r="E55" s="3"/>
      <c r="F55" s="3"/>
      <c r="G55" s="3"/>
      <c r="H55" s="3"/>
      <c r="I55" s="3"/>
      <c r="J55" s="3"/>
      <c r="K55" s="3">
        <v>57.381841750669501</v>
      </c>
      <c r="L55" s="3"/>
      <c r="M55" s="3"/>
      <c r="N55" s="3">
        <v>68.9527612466498</v>
      </c>
      <c r="O55" s="3"/>
      <c r="P55" s="3"/>
      <c r="Q55" s="3"/>
      <c r="R55" s="3"/>
      <c r="S55" s="3"/>
      <c r="T55" s="3"/>
      <c r="U55" s="3"/>
      <c r="V55" s="3"/>
    </row>
    <row r="56" spans="1:22" x14ac:dyDescent="0.25">
      <c r="A56" s="7" t="s">
        <v>188</v>
      </c>
      <c r="B56" s="3"/>
      <c r="C56" s="3"/>
      <c r="D56" s="3"/>
      <c r="E56" s="3"/>
      <c r="F56" s="3"/>
      <c r="G56" s="3"/>
      <c r="H56" s="3"/>
      <c r="I56" s="3"/>
      <c r="J56" s="3"/>
      <c r="K56" s="3"/>
      <c r="L56" s="3"/>
      <c r="M56" s="3"/>
      <c r="N56" s="3"/>
      <c r="O56" s="3"/>
      <c r="P56" s="3"/>
      <c r="Q56" s="3"/>
      <c r="R56" s="3"/>
      <c r="S56" s="3"/>
      <c r="T56" s="3"/>
      <c r="U56" s="3"/>
      <c r="V56" s="3"/>
    </row>
    <row r="57" spans="1:22" x14ac:dyDescent="0.25">
      <c r="A57" s="7" t="s">
        <v>190</v>
      </c>
      <c r="B57" s="3"/>
      <c r="C57" s="3"/>
      <c r="D57" s="3"/>
      <c r="E57" s="3"/>
      <c r="F57" s="3"/>
      <c r="G57" s="3"/>
      <c r="H57" s="3"/>
      <c r="I57" s="3"/>
      <c r="J57" s="3"/>
      <c r="K57" s="3"/>
      <c r="L57" s="3"/>
      <c r="M57" s="3"/>
      <c r="N57" s="3"/>
      <c r="O57" s="3"/>
      <c r="P57" s="3"/>
      <c r="Q57" s="3"/>
      <c r="R57" s="3"/>
      <c r="S57" s="3"/>
      <c r="T57" s="3"/>
      <c r="U57" s="3"/>
      <c r="V57" s="3"/>
    </row>
    <row r="58" spans="1:22" x14ac:dyDescent="0.25">
      <c r="A58" s="7" t="s">
        <v>191</v>
      </c>
      <c r="B58" s="3"/>
      <c r="C58" s="3"/>
      <c r="D58" s="3"/>
      <c r="E58" s="3"/>
      <c r="F58" s="3"/>
      <c r="G58" s="3"/>
      <c r="H58" s="3"/>
      <c r="I58" s="3"/>
      <c r="J58" s="3"/>
      <c r="K58" s="3"/>
      <c r="L58" s="3"/>
      <c r="M58" s="3"/>
      <c r="N58" s="3"/>
      <c r="O58" s="3"/>
      <c r="P58" s="3"/>
      <c r="Q58" s="3"/>
      <c r="R58" s="3"/>
      <c r="S58" s="3"/>
      <c r="T58" s="3"/>
      <c r="U58" s="3"/>
      <c r="V58" s="3"/>
    </row>
    <row r="59" spans="1:22" x14ac:dyDescent="0.25">
      <c r="A59" s="7" t="s">
        <v>192</v>
      </c>
      <c r="B59" s="3"/>
      <c r="C59" s="3"/>
      <c r="D59" s="3"/>
      <c r="E59" s="3"/>
      <c r="F59" s="3"/>
      <c r="G59" s="3"/>
      <c r="H59" s="3"/>
      <c r="I59" s="3"/>
      <c r="J59" s="3"/>
      <c r="K59" s="3"/>
      <c r="L59" s="3"/>
      <c r="M59" s="3"/>
      <c r="N59" s="3"/>
      <c r="O59" s="3"/>
      <c r="P59" s="3"/>
      <c r="Q59" s="3"/>
      <c r="R59" s="3"/>
      <c r="S59" s="3"/>
      <c r="T59" s="3"/>
      <c r="U59" s="3"/>
      <c r="V59" s="3"/>
    </row>
    <row r="60" spans="1:22" x14ac:dyDescent="0.25">
      <c r="A60" s="7" t="s">
        <v>193</v>
      </c>
      <c r="B60" s="3"/>
      <c r="C60" s="3"/>
      <c r="D60" s="3"/>
      <c r="E60" s="3"/>
      <c r="F60" s="3"/>
      <c r="G60" s="3"/>
      <c r="H60" s="3"/>
      <c r="I60" s="3"/>
      <c r="J60" s="3"/>
      <c r="K60" s="3"/>
      <c r="L60" s="3"/>
      <c r="M60" s="3"/>
      <c r="N60" s="3">
        <v>53.647211198118598</v>
      </c>
      <c r="O60" s="3"/>
      <c r="P60" s="3"/>
      <c r="Q60" s="3">
        <v>49.476693134790203</v>
      </c>
      <c r="R60" s="3">
        <v>52.665274275365398</v>
      </c>
      <c r="S60" s="3"/>
      <c r="T60" s="3"/>
      <c r="U60" s="3"/>
      <c r="V60" s="3"/>
    </row>
    <row r="61" spans="1:22" x14ac:dyDescent="0.25">
      <c r="A61" s="7" t="s">
        <v>249</v>
      </c>
      <c r="B61" s="3"/>
      <c r="C61" s="3"/>
      <c r="D61" s="3"/>
      <c r="E61" s="3"/>
      <c r="F61" s="3"/>
      <c r="G61" s="3"/>
      <c r="H61" s="3"/>
      <c r="I61" s="3"/>
      <c r="J61" s="3"/>
      <c r="K61" s="3"/>
      <c r="L61" s="3"/>
      <c r="M61" s="3"/>
      <c r="N61" s="3"/>
      <c r="O61" s="3"/>
      <c r="P61" s="3"/>
      <c r="Q61" s="3"/>
      <c r="R61" s="3"/>
      <c r="S61" s="3"/>
      <c r="T61" s="3"/>
      <c r="U61" s="3"/>
      <c r="V61" s="3"/>
    </row>
    <row r="62" spans="1:22" x14ac:dyDescent="0.25">
      <c r="A62" s="7" t="s">
        <v>194</v>
      </c>
      <c r="B62" s="3"/>
      <c r="C62" s="3"/>
      <c r="D62" s="3"/>
      <c r="E62" s="3"/>
      <c r="F62" s="3"/>
      <c r="G62" s="3"/>
      <c r="H62" s="3"/>
      <c r="I62" s="3"/>
      <c r="J62" s="3"/>
      <c r="K62" s="3"/>
      <c r="L62" s="3"/>
      <c r="M62" s="3"/>
      <c r="N62" s="3"/>
      <c r="O62" s="3"/>
      <c r="P62" s="3"/>
      <c r="Q62" s="3"/>
      <c r="R62" s="3"/>
      <c r="S62" s="3"/>
      <c r="T62" s="3"/>
      <c r="U62" s="3"/>
      <c r="V62" s="3"/>
    </row>
    <row r="63" spans="1:22" x14ac:dyDescent="0.25">
      <c r="A63" s="7" t="s">
        <v>195</v>
      </c>
      <c r="B63" s="3"/>
      <c r="C63" s="3"/>
      <c r="D63" s="3"/>
      <c r="E63" s="3"/>
      <c r="F63" s="3"/>
      <c r="G63" s="3"/>
      <c r="H63" s="3"/>
      <c r="I63" s="3"/>
      <c r="J63" s="3"/>
      <c r="K63" s="3"/>
      <c r="L63" s="3"/>
      <c r="M63" s="3"/>
      <c r="N63" s="3"/>
      <c r="O63" s="3"/>
      <c r="P63" s="3"/>
      <c r="Q63" s="3"/>
      <c r="R63" s="3"/>
      <c r="S63" s="3"/>
      <c r="T63" s="3"/>
      <c r="U63" s="3"/>
      <c r="V63" s="3"/>
    </row>
    <row r="64" spans="1:22" x14ac:dyDescent="0.25">
      <c r="A64" s="7" t="s">
        <v>196</v>
      </c>
      <c r="B64" s="3"/>
      <c r="C64" s="3"/>
      <c r="D64" s="3"/>
      <c r="E64" s="3"/>
      <c r="F64" s="3"/>
      <c r="G64" s="3"/>
      <c r="H64" s="3"/>
      <c r="I64" s="3"/>
      <c r="J64" s="3"/>
      <c r="K64" s="3"/>
      <c r="L64" s="3"/>
      <c r="M64" s="3"/>
      <c r="N64" s="3"/>
      <c r="O64" s="3"/>
      <c r="P64" s="3"/>
      <c r="Q64" s="3"/>
      <c r="R64" s="3"/>
      <c r="S64" s="3"/>
      <c r="T64" s="3"/>
      <c r="U64" s="3"/>
      <c r="V64" s="3"/>
    </row>
    <row r="65" spans="1:22" x14ac:dyDescent="0.25">
      <c r="A65" s="7" t="s">
        <v>197</v>
      </c>
      <c r="B65" s="3"/>
      <c r="C65" s="3"/>
      <c r="D65" s="3"/>
      <c r="E65" s="3"/>
      <c r="F65" s="3"/>
      <c r="G65" s="3"/>
      <c r="H65" s="3"/>
      <c r="I65" s="3"/>
      <c r="J65" s="3"/>
      <c r="K65" s="3"/>
      <c r="L65" s="3"/>
      <c r="M65" s="3"/>
      <c r="N65" s="3"/>
      <c r="O65" s="3"/>
      <c r="P65" s="3">
        <v>42.431201761311002</v>
      </c>
      <c r="Q65" s="3"/>
      <c r="R65" s="3"/>
      <c r="S65" s="3"/>
      <c r="T65" s="3"/>
      <c r="U65" s="3"/>
      <c r="V65" s="3"/>
    </row>
    <row r="66" spans="1:22" x14ac:dyDescent="0.25">
      <c r="A66" s="7" t="s">
        <v>198</v>
      </c>
      <c r="B66" s="3"/>
      <c r="C66" s="3"/>
      <c r="D66" s="3"/>
      <c r="E66" s="3"/>
      <c r="F66" s="3"/>
      <c r="G66" s="3"/>
      <c r="H66" s="3"/>
      <c r="I66" s="3"/>
      <c r="J66" s="3"/>
      <c r="K66" s="3"/>
      <c r="L66" s="3"/>
      <c r="M66" s="3"/>
      <c r="N66" s="3"/>
      <c r="O66" s="3"/>
      <c r="P66" s="3"/>
      <c r="Q66" s="3"/>
      <c r="R66" s="3"/>
      <c r="S66" s="3"/>
      <c r="T66" s="3"/>
      <c r="U66" s="3"/>
      <c r="V66" s="3"/>
    </row>
    <row r="67" spans="1:22" x14ac:dyDescent="0.25">
      <c r="A67" s="7" t="s">
        <v>199</v>
      </c>
      <c r="B67" s="3"/>
      <c r="C67" s="3"/>
      <c r="D67" s="3"/>
      <c r="E67" s="3"/>
      <c r="F67" s="3"/>
      <c r="G67" s="3"/>
      <c r="H67" s="3"/>
      <c r="I67" s="3"/>
      <c r="J67" s="3"/>
      <c r="K67" s="3"/>
      <c r="L67" s="3"/>
      <c r="M67" s="3"/>
      <c r="N67" s="3"/>
      <c r="O67" s="3"/>
      <c r="P67" s="3"/>
      <c r="Q67" s="3"/>
      <c r="R67" s="3"/>
      <c r="S67" s="3"/>
      <c r="T67" s="3"/>
      <c r="U67" s="3"/>
      <c r="V67" s="3"/>
    </row>
    <row r="68" spans="1:22" x14ac:dyDescent="0.25">
      <c r="A68" s="7" t="s">
        <v>200</v>
      </c>
      <c r="B68" s="3"/>
      <c r="C68" s="3"/>
      <c r="D68" s="3"/>
      <c r="E68" s="3"/>
      <c r="F68" s="3"/>
      <c r="G68" s="3"/>
      <c r="H68" s="3"/>
      <c r="I68" s="3"/>
      <c r="J68" s="3"/>
      <c r="K68" s="3"/>
      <c r="L68" s="3"/>
      <c r="M68" s="3"/>
      <c r="N68" s="3"/>
      <c r="O68" s="3"/>
      <c r="P68" s="3"/>
      <c r="Q68" s="3"/>
      <c r="R68" s="3"/>
      <c r="S68" s="3"/>
      <c r="T68" s="3"/>
      <c r="U68" s="3"/>
      <c r="V68" s="3"/>
    </row>
    <row r="69" spans="1:22" x14ac:dyDescent="0.25">
      <c r="A69" s="7" t="s">
        <v>201</v>
      </c>
      <c r="B69" s="3"/>
      <c r="C69" s="3"/>
      <c r="D69" s="3"/>
      <c r="E69" s="3"/>
      <c r="F69" s="3"/>
      <c r="G69" s="3"/>
      <c r="H69" s="3"/>
      <c r="I69" s="3"/>
      <c r="J69" s="3"/>
      <c r="K69" s="3"/>
      <c r="L69" s="3"/>
      <c r="M69" s="3"/>
      <c r="N69" s="3"/>
      <c r="O69" s="3"/>
      <c r="P69" s="3"/>
      <c r="Q69" s="3"/>
      <c r="R69" s="3"/>
      <c r="S69" s="3"/>
      <c r="T69" s="3"/>
      <c r="U69" s="3"/>
      <c r="V69" s="3"/>
    </row>
    <row r="70" spans="1:22" x14ac:dyDescent="0.25">
      <c r="A70" s="7" t="s">
        <v>202</v>
      </c>
      <c r="B70" s="3"/>
      <c r="C70" s="3"/>
      <c r="D70" s="3"/>
      <c r="E70" s="3"/>
      <c r="F70" s="3"/>
      <c r="G70" s="3"/>
      <c r="H70" s="3"/>
      <c r="I70" s="3"/>
      <c r="J70" s="3"/>
      <c r="K70" s="3"/>
      <c r="L70" s="3"/>
      <c r="M70" s="3"/>
      <c r="N70" s="3"/>
      <c r="O70" s="3"/>
      <c r="P70" s="3"/>
      <c r="Q70" s="3"/>
      <c r="R70" s="3"/>
      <c r="S70" s="3"/>
      <c r="T70" s="3"/>
      <c r="U70" s="3"/>
      <c r="V70" s="3"/>
    </row>
    <row r="71" spans="1:22" x14ac:dyDescent="0.25">
      <c r="A71" s="7" t="s">
        <v>203</v>
      </c>
      <c r="B71" s="3"/>
      <c r="C71" s="3"/>
      <c r="D71" s="3"/>
      <c r="E71" s="3"/>
      <c r="F71" s="3"/>
      <c r="G71" s="3"/>
      <c r="H71" s="3"/>
      <c r="I71" s="3"/>
      <c r="J71" s="3"/>
      <c r="K71" s="3"/>
      <c r="L71" s="3"/>
      <c r="M71" s="3"/>
      <c r="N71" s="3">
        <v>42.613760193947002</v>
      </c>
      <c r="O71" s="3"/>
      <c r="P71" s="3"/>
      <c r="Q71" s="3"/>
      <c r="R71" s="3"/>
      <c r="S71" s="3"/>
      <c r="T71" s="3"/>
      <c r="U71" s="3"/>
      <c r="V71" s="3"/>
    </row>
    <row r="72" spans="1:22" x14ac:dyDescent="0.25">
      <c r="A72" s="7" t="s">
        <v>204</v>
      </c>
      <c r="B72" s="3"/>
      <c r="C72" s="3"/>
      <c r="D72" s="3"/>
      <c r="E72" s="3"/>
      <c r="F72" s="3"/>
      <c r="G72" s="3"/>
      <c r="H72" s="3"/>
      <c r="I72" s="3"/>
      <c r="J72" s="3"/>
      <c r="K72" s="3"/>
      <c r="L72" s="3"/>
      <c r="M72" s="3"/>
      <c r="N72" s="3"/>
      <c r="O72" s="3"/>
      <c r="P72" s="3"/>
      <c r="Q72" s="3"/>
      <c r="R72" s="3"/>
      <c r="S72" s="3"/>
      <c r="T72" s="3"/>
      <c r="U72" s="3"/>
      <c r="V72" s="3"/>
    </row>
    <row r="73" spans="1:22" x14ac:dyDescent="0.25">
      <c r="A73" s="7" t="s">
        <v>205</v>
      </c>
      <c r="B73" s="3"/>
      <c r="C73" s="3"/>
      <c r="D73" s="3"/>
      <c r="E73" s="3"/>
      <c r="F73" s="3"/>
      <c r="G73" s="3"/>
      <c r="H73" s="3"/>
      <c r="I73" s="3"/>
      <c r="J73" s="3"/>
      <c r="K73" s="3"/>
      <c r="L73" s="3"/>
      <c r="M73" s="3"/>
      <c r="N73" s="3"/>
      <c r="O73" s="3"/>
      <c r="P73" s="3"/>
      <c r="Q73" s="3"/>
      <c r="R73" s="3"/>
      <c r="S73" s="3"/>
      <c r="T73" s="3"/>
      <c r="U73" s="3"/>
      <c r="V73" s="3"/>
    </row>
    <row r="74" spans="1:22" x14ac:dyDescent="0.25">
      <c r="A74" s="7" t="s">
        <v>206</v>
      </c>
      <c r="B74" s="3"/>
      <c r="C74" s="3"/>
      <c r="D74" s="3"/>
      <c r="E74" s="3"/>
      <c r="F74" s="3"/>
      <c r="G74" s="3"/>
      <c r="H74" s="3"/>
      <c r="I74" s="3"/>
      <c r="J74" s="3"/>
      <c r="K74" s="3"/>
      <c r="L74" s="3"/>
      <c r="M74" s="3"/>
      <c r="N74" s="3"/>
      <c r="O74" s="3"/>
      <c r="P74" s="3"/>
      <c r="Q74" s="3"/>
      <c r="R74" s="3"/>
      <c r="S74" s="3"/>
      <c r="T74" s="3"/>
      <c r="U74" s="3"/>
      <c r="V74" s="3"/>
    </row>
    <row r="75" spans="1:22" x14ac:dyDescent="0.25">
      <c r="A75" s="7" t="s">
        <v>207</v>
      </c>
      <c r="B75" s="3"/>
      <c r="C75" s="3"/>
      <c r="D75" s="3"/>
      <c r="E75" s="3"/>
      <c r="F75" s="3"/>
      <c r="G75" s="3"/>
      <c r="H75" s="3"/>
      <c r="I75" s="3"/>
      <c r="J75" s="3"/>
      <c r="K75" s="3"/>
      <c r="L75" s="3"/>
      <c r="M75" s="3"/>
      <c r="N75" s="3"/>
      <c r="O75" s="3"/>
      <c r="P75" s="3"/>
      <c r="Q75" s="3"/>
      <c r="R75" s="3">
        <v>40.744375555484197</v>
      </c>
      <c r="S75" s="3"/>
      <c r="T75" s="3"/>
      <c r="U75" s="3"/>
      <c r="V75" s="3"/>
    </row>
    <row r="76" spans="1:22" x14ac:dyDescent="0.25">
      <c r="A76" s="7" t="s">
        <v>208</v>
      </c>
      <c r="B76" s="3"/>
      <c r="C76" s="3"/>
      <c r="D76" s="3"/>
      <c r="E76" s="3"/>
      <c r="F76" s="3"/>
      <c r="G76" s="3"/>
      <c r="H76" s="3"/>
      <c r="I76" s="3"/>
      <c r="J76" s="3"/>
      <c r="K76" s="3"/>
      <c r="L76" s="3"/>
      <c r="M76" s="3"/>
      <c r="N76" s="3"/>
      <c r="O76" s="3"/>
      <c r="P76" s="3"/>
      <c r="Q76" s="3"/>
      <c r="R76" s="3"/>
      <c r="S76" s="3"/>
      <c r="T76" s="3"/>
      <c r="U76" s="3"/>
      <c r="V76" s="3"/>
    </row>
    <row r="77" spans="1:22" x14ac:dyDescent="0.25">
      <c r="A77" s="7" t="s">
        <v>209</v>
      </c>
      <c r="B77" s="3"/>
      <c r="C77" s="3">
        <v>19.937179699123799</v>
      </c>
      <c r="D77" s="3"/>
      <c r="E77" s="3"/>
      <c r="F77" s="3"/>
      <c r="G77" s="3"/>
      <c r="H77" s="3"/>
      <c r="I77" s="3"/>
      <c r="J77" s="3"/>
      <c r="K77" s="3"/>
      <c r="L77" s="3"/>
      <c r="M77" s="3"/>
      <c r="N77" s="3"/>
      <c r="O77" s="3"/>
      <c r="P77" s="3"/>
      <c r="Q77" s="3"/>
      <c r="R77" s="3"/>
      <c r="S77" s="3"/>
      <c r="T77" s="3"/>
      <c r="U77" s="3"/>
      <c r="V77" s="3"/>
    </row>
    <row r="78" spans="1:22" x14ac:dyDescent="0.25">
      <c r="A78" s="7" t="s">
        <v>210</v>
      </c>
      <c r="B78" s="3"/>
      <c r="C78" s="3"/>
      <c r="D78" s="3"/>
      <c r="E78" s="3"/>
      <c r="F78" s="3"/>
      <c r="G78" s="3"/>
      <c r="H78" s="3"/>
      <c r="I78" s="3"/>
      <c r="J78" s="3"/>
      <c r="K78" s="3"/>
      <c r="L78" s="3">
        <v>17.818327257787399</v>
      </c>
      <c r="M78" s="3"/>
      <c r="N78" s="3"/>
      <c r="O78" s="3"/>
      <c r="P78" s="3"/>
      <c r="Q78" s="3"/>
      <c r="R78" s="3"/>
      <c r="S78" s="3"/>
      <c r="T78" s="3"/>
      <c r="U78" s="3"/>
      <c r="V78" s="3"/>
    </row>
    <row r="79" spans="1:22" x14ac:dyDescent="0.25">
      <c r="A79" s="7" t="s">
        <v>211</v>
      </c>
      <c r="B79" s="3"/>
      <c r="C79" s="3"/>
      <c r="D79" s="3"/>
      <c r="E79" s="3"/>
      <c r="F79" s="3"/>
      <c r="G79" s="3"/>
      <c r="H79" s="3"/>
      <c r="I79" s="3"/>
      <c r="J79" s="3"/>
      <c r="K79" s="3"/>
      <c r="L79" s="3"/>
      <c r="M79" s="3"/>
      <c r="N79" s="3"/>
      <c r="O79" s="3"/>
      <c r="P79" s="3"/>
      <c r="Q79" s="3"/>
      <c r="R79" s="3"/>
      <c r="S79" s="3"/>
      <c r="T79" s="3"/>
      <c r="U79" s="3"/>
      <c r="V79" s="3"/>
    </row>
    <row r="80" spans="1:22" x14ac:dyDescent="0.25">
      <c r="A80" s="7" t="s">
        <v>212</v>
      </c>
      <c r="B80" s="3"/>
      <c r="C80" s="3"/>
      <c r="D80" s="3"/>
      <c r="E80" s="3"/>
      <c r="F80" s="3"/>
      <c r="G80" s="3"/>
      <c r="H80" s="3"/>
      <c r="I80" s="3">
        <v>6.8502095928211801</v>
      </c>
      <c r="J80" s="3"/>
      <c r="K80" s="3"/>
      <c r="L80" s="3"/>
      <c r="M80" s="3"/>
      <c r="N80" s="3"/>
      <c r="O80" s="3"/>
      <c r="P80" s="3"/>
      <c r="Q80" s="3"/>
      <c r="R80" s="3"/>
      <c r="S80" s="3"/>
      <c r="T80" s="3"/>
      <c r="U80" s="3"/>
      <c r="V80" s="3"/>
    </row>
    <row r="81" spans="1:22" x14ac:dyDescent="0.25">
      <c r="A81" s="7" t="s">
        <v>213</v>
      </c>
      <c r="B81" s="3"/>
      <c r="C81" s="3"/>
      <c r="D81" s="3"/>
      <c r="E81" s="3"/>
      <c r="F81" s="3"/>
      <c r="G81" s="3"/>
      <c r="H81" s="3"/>
      <c r="I81" s="3"/>
      <c r="J81" s="3"/>
      <c r="K81" s="3"/>
      <c r="L81" s="3"/>
      <c r="M81" s="3"/>
      <c r="N81" s="3"/>
      <c r="O81" s="3"/>
      <c r="P81" s="3"/>
      <c r="Q81" s="3"/>
      <c r="R81" s="3"/>
      <c r="S81" s="3"/>
      <c r="T81" s="3"/>
      <c r="U81" s="3"/>
      <c r="V81" s="3"/>
    </row>
    <row r="82" spans="1:22" x14ac:dyDescent="0.25">
      <c r="A82" s="7" t="s">
        <v>214</v>
      </c>
      <c r="B82" s="3"/>
      <c r="C82" s="3"/>
      <c r="D82" s="3"/>
      <c r="E82" s="3"/>
      <c r="F82" s="3"/>
      <c r="G82" s="3"/>
      <c r="H82" s="3"/>
      <c r="I82" s="3"/>
      <c r="J82" s="3"/>
      <c r="K82" s="3"/>
      <c r="L82" s="3"/>
      <c r="M82" s="3"/>
      <c r="N82" s="3"/>
      <c r="O82" s="3"/>
      <c r="P82" s="3"/>
      <c r="Q82" s="3"/>
      <c r="R82" s="3"/>
      <c r="S82" s="3"/>
      <c r="T82" s="3"/>
      <c r="U82" s="3"/>
      <c r="V82" s="3"/>
    </row>
    <row r="83" spans="1:22" x14ac:dyDescent="0.25">
      <c r="A83" s="7" t="s">
        <v>215</v>
      </c>
      <c r="B83" s="3"/>
      <c r="C83" s="3"/>
      <c r="D83" s="3"/>
      <c r="E83" s="3"/>
      <c r="F83" s="3"/>
      <c r="G83" s="3"/>
      <c r="H83" s="3"/>
      <c r="I83" s="3"/>
      <c r="J83" s="3"/>
      <c r="K83" s="3"/>
      <c r="L83" s="3"/>
      <c r="M83" s="3"/>
      <c r="N83" s="3"/>
      <c r="O83" s="3"/>
      <c r="P83" s="3"/>
      <c r="Q83" s="3"/>
      <c r="R83" s="3"/>
      <c r="S83" s="3"/>
      <c r="T83" s="3"/>
      <c r="U83" s="3"/>
      <c r="V83" s="3"/>
    </row>
    <row r="84" spans="1:22" x14ac:dyDescent="0.25">
      <c r="A84" s="7" t="s">
        <v>216</v>
      </c>
      <c r="B84" s="3"/>
      <c r="C84" s="3"/>
      <c r="D84" s="3">
        <v>18.1521987493952</v>
      </c>
      <c r="E84" s="3"/>
      <c r="F84" s="3"/>
      <c r="G84" s="3"/>
      <c r="H84" s="3"/>
      <c r="I84" s="3"/>
      <c r="J84" s="3"/>
      <c r="K84" s="3"/>
      <c r="L84" s="3"/>
      <c r="M84" s="3"/>
      <c r="N84" s="3"/>
      <c r="O84" s="3"/>
      <c r="P84" s="3"/>
      <c r="Q84" s="3"/>
      <c r="R84" s="3"/>
      <c r="S84" s="3"/>
      <c r="T84" s="3"/>
      <c r="U84" s="3"/>
      <c r="V84" s="3"/>
    </row>
    <row r="85" spans="1:22" x14ac:dyDescent="0.25">
      <c r="A85" s="7" t="s">
        <v>217</v>
      </c>
      <c r="B85" s="3"/>
      <c r="C85" s="3"/>
      <c r="D85" s="3"/>
      <c r="E85" s="3"/>
      <c r="F85" s="3"/>
      <c r="G85" s="3"/>
      <c r="H85" s="3"/>
      <c r="I85" s="3"/>
      <c r="J85" s="3"/>
      <c r="K85" s="3"/>
      <c r="L85" s="3"/>
      <c r="M85" s="3"/>
      <c r="N85" s="3"/>
      <c r="O85" s="3"/>
      <c r="P85" s="3"/>
      <c r="Q85" s="3"/>
      <c r="R85" s="3"/>
      <c r="S85" s="3"/>
      <c r="T85" s="3"/>
      <c r="U85" s="3"/>
      <c r="V85" s="3"/>
    </row>
    <row r="86" spans="1:22" x14ac:dyDescent="0.25">
      <c r="A86" s="7" t="s">
        <v>218</v>
      </c>
      <c r="B86" s="3"/>
      <c r="C86" s="3"/>
      <c r="D86" s="3"/>
      <c r="E86" s="3"/>
      <c r="F86" s="3"/>
      <c r="G86" s="3"/>
      <c r="H86" s="3"/>
      <c r="I86" s="3"/>
      <c r="J86" s="3"/>
      <c r="K86" s="3"/>
      <c r="L86" s="3"/>
      <c r="M86" s="3"/>
      <c r="N86" s="3"/>
      <c r="O86" s="3"/>
      <c r="P86" s="3"/>
      <c r="Q86" s="3"/>
      <c r="R86" s="3"/>
      <c r="S86" s="3"/>
      <c r="T86" s="3"/>
      <c r="U86" s="3"/>
      <c r="V86" s="3"/>
    </row>
    <row r="87" spans="1:22" x14ac:dyDescent="0.25">
      <c r="A87" s="7" t="s">
        <v>219</v>
      </c>
      <c r="B87" s="3"/>
      <c r="C87" s="3"/>
      <c r="D87" s="3"/>
      <c r="E87" s="3"/>
      <c r="F87" s="3"/>
      <c r="G87" s="3"/>
      <c r="H87" s="3"/>
      <c r="I87" s="3"/>
      <c r="J87" s="3"/>
      <c r="K87" s="3"/>
      <c r="L87" s="3"/>
      <c r="M87" s="3"/>
      <c r="N87" s="3"/>
      <c r="O87" s="3"/>
      <c r="P87" s="3"/>
      <c r="Q87" s="3"/>
      <c r="R87" s="3"/>
      <c r="S87" s="3"/>
      <c r="T87" s="3"/>
      <c r="U87" s="3"/>
      <c r="V87" s="3"/>
    </row>
    <row r="88" spans="1:22" x14ac:dyDescent="0.25">
      <c r="A88" s="7" t="s">
        <v>220</v>
      </c>
      <c r="B88" s="3"/>
      <c r="C88" s="3"/>
      <c r="D88" s="3"/>
      <c r="E88" s="3"/>
      <c r="F88" s="3"/>
      <c r="G88" s="3"/>
      <c r="H88" s="3"/>
      <c r="I88" s="3"/>
      <c r="J88" s="3"/>
      <c r="K88" s="3"/>
      <c r="L88" s="3"/>
      <c r="M88" s="3"/>
      <c r="N88" s="3"/>
      <c r="O88" s="3"/>
      <c r="P88" s="3"/>
      <c r="Q88" s="3"/>
      <c r="R88" s="3"/>
      <c r="S88" s="3"/>
      <c r="T88" s="3"/>
      <c r="U88" s="3"/>
      <c r="V88" s="3"/>
    </row>
    <row r="89" spans="1:22" x14ac:dyDescent="0.25">
      <c r="A89" s="7" t="s">
        <v>221</v>
      </c>
      <c r="B89" s="3"/>
      <c r="C89" s="3"/>
      <c r="D89" s="3"/>
      <c r="E89" s="3"/>
      <c r="F89" s="3"/>
      <c r="G89" s="3"/>
      <c r="H89" s="3"/>
      <c r="I89" s="3"/>
      <c r="J89" s="3"/>
      <c r="K89" s="3"/>
      <c r="L89" s="3"/>
      <c r="M89" s="3"/>
      <c r="N89" s="3"/>
      <c r="O89" s="3"/>
      <c r="P89" s="3"/>
      <c r="Q89" s="3"/>
      <c r="R89" s="3"/>
      <c r="S89" s="3"/>
      <c r="T89" s="3"/>
      <c r="U89" s="3"/>
      <c r="V89" s="3"/>
    </row>
    <row r="90" spans="1:22" x14ac:dyDescent="0.25">
      <c r="A90" s="7" t="s">
        <v>222</v>
      </c>
      <c r="B90" s="3"/>
      <c r="C90" s="3"/>
      <c r="D90" s="3"/>
      <c r="E90" s="3"/>
      <c r="F90" s="3"/>
      <c r="G90" s="3"/>
      <c r="H90" s="3"/>
      <c r="I90" s="3"/>
      <c r="J90" s="3"/>
      <c r="K90" s="3"/>
      <c r="L90" s="3"/>
      <c r="M90" s="3"/>
      <c r="N90" s="3"/>
      <c r="O90" s="3"/>
      <c r="P90" s="3"/>
      <c r="Q90" s="3"/>
      <c r="R90" s="3"/>
      <c r="S90" s="3"/>
      <c r="T90" s="3"/>
      <c r="U90" s="3"/>
      <c r="V90" s="3"/>
    </row>
    <row r="91" spans="1:22" x14ac:dyDescent="0.25">
      <c r="A91" s="7" t="s">
        <v>223</v>
      </c>
      <c r="B91" s="3"/>
      <c r="C91" s="3"/>
      <c r="D91" s="3"/>
      <c r="E91" s="3"/>
      <c r="F91" s="3"/>
      <c r="G91" s="3"/>
      <c r="H91" s="3"/>
      <c r="I91" s="3"/>
      <c r="J91" s="3"/>
      <c r="K91" s="3"/>
      <c r="L91" s="3"/>
      <c r="M91" s="3"/>
      <c r="N91" s="3"/>
      <c r="O91" s="3"/>
      <c r="P91" s="3"/>
      <c r="Q91" s="3"/>
      <c r="R91" s="3"/>
      <c r="S91" s="3"/>
      <c r="T91" s="3"/>
      <c r="U91" s="3"/>
      <c r="V91" s="3"/>
    </row>
    <row r="92" spans="1:22" x14ac:dyDescent="0.25">
      <c r="A92" s="7" t="s">
        <v>224</v>
      </c>
      <c r="B92" s="3"/>
      <c r="C92" s="3"/>
      <c r="D92" s="3"/>
      <c r="E92" s="3"/>
      <c r="F92" s="3"/>
      <c r="G92" s="3"/>
      <c r="H92" s="3"/>
      <c r="I92" s="3"/>
      <c r="J92" s="3"/>
      <c r="K92" s="3"/>
      <c r="L92" s="3"/>
      <c r="M92" s="3"/>
      <c r="N92" s="3"/>
      <c r="O92" s="3"/>
      <c r="P92" s="3"/>
      <c r="Q92" s="3"/>
      <c r="R92" s="3"/>
      <c r="S92" s="3"/>
      <c r="T92" s="3"/>
      <c r="U92" s="3"/>
      <c r="V92" s="3"/>
    </row>
    <row r="93" spans="1:22" x14ac:dyDescent="0.25">
      <c r="A93" s="7" t="s">
        <v>225</v>
      </c>
      <c r="B93" s="3"/>
      <c r="C93" s="3"/>
      <c r="D93" s="3"/>
      <c r="E93" s="3"/>
      <c r="F93" s="3"/>
      <c r="G93" s="3"/>
      <c r="H93" s="3"/>
      <c r="I93" s="3">
        <v>36.0513261758963</v>
      </c>
      <c r="J93" s="3"/>
      <c r="K93" s="3"/>
      <c r="L93" s="3"/>
      <c r="M93" s="3"/>
      <c r="N93" s="3"/>
      <c r="O93" s="3">
        <v>53.617532950849203</v>
      </c>
      <c r="P93" s="3"/>
      <c r="Q93" s="3"/>
      <c r="R93" s="3"/>
      <c r="S93" s="3"/>
      <c r="T93" s="3"/>
      <c r="U93" s="3"/>
      <c r="V93" s="3"/>
    </row>
    <row r="95" spans="1:22" x14ac:dyDescent="0.25">
      <c r="A95" t="s">
        <v>23</v>
      </c>
    </row>
  </sheetData>
  <hyperlinks>
    <hyperlink ref="R1" location="Contents!A1" display="Return to Contents" xr:uid="{2750D289-8A04-46AF-8F5B-158B62BD72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397B-B8F3-43E8-BC45-ADF825E6E318}">
  <sheetPr codeName="Sheet7"/>
  <dimension ref="A1:T209"/>
  <sheetViews>
    <sheetView tabSelected="1" zoomScaleNormal="100" workbookViewId="0">
      <selection activeCell="T17" sqref="T17"/>
    </sheetView>
  </sheetViews>
  <sheetFormatPr defaultRowHeight="15" x14ac:dyDescent="0.25"/>
  <cols>
    <col min="1" max="1" width="31.85546875" customWidth="1"/>
    <col min="4" max="20" width="9.5703125" bestFit="1" customWidth="1"/>
    <col min="21" max="27" width="9.28515625" bestFit="1" customWidth="1"/>
    <col min="31" max="45" width="9.28515625" bestFit="1" customWidth="1"/>
    <col min="51" max="54" width="9.28515625" bestFit="1" customWidth="1"/>
    <col min="55" max="56" width="9.5703125" bestFit="1" customWidth="1"/>
    <col min="57" max="58" width="9.28515625" bestFit="1" customWidth="1"/>
    <col min="59" max="67" width="9.5703125" bestFit="1" customWidth="1"/>
  </cols>
  <sheetData>
    <row r="1" spans="1:20" x14ac:dyDescent="0.25">
      <c r="A1" s="1" t="s">
        <v>32</v>
      </c>
      <c r="T1" s="34" t="s">
        <v>17</v>
      </c>
    </row>
    <row r="3" spans="1:20" x14ac:dyDescent="0.25">
      <c r="A3" s="6"/>
      <c r="B3" s="6">
        <v>2005</v>
      </c>
      <c r="C3" s="6">
        <v>2006</v>
      </c>
      <c r="D3" s="6">
        <v>2007</v>
      </c>
      <c r="E3" s="6">
        <v>2008</v>
      </c>
      <c r="F3" s="6">
        <v>2009</v>
      </c>
      <c r="G3" s="6">
        <v>2010</v>
      </c>
      <c r="H3" s="6">
        <v>2011</v>
      </c>
      <c r="I3" s="6">
        <v>2012</v>
      </c>
      <c r="J3" s="6">
        <v>2013</v>
      </c>
      <c r="K3" s="6">
        <v>2014</v>
      </c>
      <c r="L3" s="6">
        <v>2015</v>
      </c>
      <c r="M3" s="6">
        <v>2016</v>
      </c>
      <c r="N3" s="6">
        <v>2017</v>
      </c>
      <c r="O3" s="6">
        <v>2018</v>
      </c>
      <c r="P3" s="6">
        <v>2019</v>
      </c>
      <c r="Q3" s="6">
        <v>2020</v>
      </c>
      <c r="R3" s="6">
        <v>2021</v>
      </c>
      <c r="S3" s="6">
        <v>2022</v>
      </c>
      <c r="T3" s="6">
        <v>2023</v>
      </c>
    </row>
    <row r="4" spans="1:20" x14ac:dyDescent="0.25">
      <c r="A4" s="9" t="s">
        <v>33</v>
      </c>
      <c r="B4" s="8"/>
      <c r="C4" s="8"/>
      <c r="D4" s="8"/>
      <c r="E4" s="8"/>
      <c r="F4" s="8"/>
      <c r="G4" s="8"/>
      <c r="H4" s="8"/>
      <c r="I4" s="8"/>
      <c r="J4" s="8"/>
      <c r="K4" s="8"/>
      <c r="L4" s="8"/>
      <c r="M4" s="8"/>
      <c r="N4" s="8"/>
      <c r="O4" s="8"/>
      <c r="P4" s="8"/>
      <c r="Q4" s="8"/>
      <c r="R4" s="8"/>
      <c r="S4" s="8"/>
      <c r="T4" s="8"/>
    </row>
    <row r="5" spans="1:20" s="50" customFormat="1" x14ac:dyDescent="0.25">
      <c r="A5" s="51" t="s">
        <v>183</v>
      </c>
      <c r="B5" s="57"/>
      <c r="C5" s="57"/>
      <c r="D5" s="57"/>
      <c r="E5" s="57"/>
      <c r="F5" s="58">
        <v>0.53536121021613703</v>
      </c>
      <c r="G5" s="58">
        <v>1.1590557130178101</v>
      </c>
      <c r="H5" s="57">
        <v>1.68558950666833</v>
      </c>
      <c r="I5" s="57">
        <v>6.6174044859448102</v>
      </c>
      <c r="J5" s="57">
        <v>9.9358853335025099</v>
      </c>
      <c r="K5" s="57">
        <v>13.374547679412199</v>
      </c>
      <c r="L5" s="57">
        <v>14.2600035698814</v>
      </c>
      <c r="M5" s="57">
        <v>13.793295222195599</v>
      </c>
      <c r="N5" s="57">
        <v>14.4007480906381</v>
      </c>
      <c r="O5" s="57">
        <v>18.596431528680501</v>
      </c>
      <c r="P5" s="57">
        <v>20.819417517471202</v>
      </c>
      <c r="Q5" s="57">
        <v>19.841899520769601</v>
      </c>
      <c r="R5" s="57">
        <v>21.214832585335898</v>
      </c>
      <c r="S5" s="57">
        <v>26.237079812675301</v>
      </c>
      <c r="T5" s="57">
        <v>30.3109265095807</v>
      </c>
    </row>
    <row r="6" spans="1:20" s="50" customFormat="1" x14ac:dyDescent="0.25">
      <c r="A6" s="51" t="s">
        <v>184</v>
      </c>
      <c r="B6" s="57"/>
      <c r="C6" s="57"/>
      <c r="D6" s="57"/>
      <c r="E6" s="57"/>
      <c r="F6" s="58">
        <v>0</v>
      </c>
      <c r="G6" s="58">
        <v>0</v>
      </c>
      <c r="H6" s="58">
        <v>0</v>
      </c>
      <c r="I6" s="57">
        <v>0</v>
      </c>
      <c r="J6" s="57">
        <v>1.4287176362991501</v>
      </c>
      <c r="K6" s="57">
        <v>2.7363090711481202</v>
      </c>
      <c r="L6" s="57">
        <v>4.0580929963617498</v>
      </c>
      <c r="M6" s="57">
        <v>7.5353984093818296</v>
      </c>
      <c r="N6" s="57">
        <v>11.1806029678283</v>
      </c>
      <c r="O6" s="57">
        <v>18.359761702551001</v>
      </c>
      <c r="P6" s="57">
        <v>19.897420827225801</v>
      </c>
      <c r="Q6" s="57">
        <v>25.247630692457001</v>
      </c>
      <c r="R6" s="57">
        <v>32.326274505593901</v>
      </c>
      <c r="S6" s="57">
        <v>40.911672596266399</v>
      </c>
      <c r="T6" s="57">
        <v>50.096350132810997</v>
      </c>
    </row>
    <row r="7" spans="1:20" s="50" customFormat="1" x14ac:dyDescent="0.25">
      <c r="A7" s="51" t="s">
        <v>185</v>
      </c>
      <c r="B7" s="57"/>
      <c r="C7" s="57"/>
      <c r="D7" s="57"/>
      <c r="E7" s="57"/>
      <c r="F7" s="57"/>
      <c r="G7" s="58">
        <v>1.47557118130786</v>
      </c>
      <c r="H7" s="57"/>
      <c r="I7" s="57"/>
      <c r="J7" s="57">
        <v>41.033838748585701</v>
      </c>
      <c r="K7" s="57">
        <v>46.685840618329998</v>
      </c>
      <c r="L7" s="57">
        <v>63.066265505908703</v>
      </c>
      <c r="M7" s="57">
        <v>63.061085316828198</v>
      </c>
      <c r="N7" s="57">
        <v>67.627926716126694</v>
      </c>
      <c r="O7" s="57">
        <v>76.074455633647503</v>
      </c>
      <c r="P7" s="57">
        <v>87.362199372835406</v>
      </c>
      <c r="Q7" s="57">
        <v>94.685814326423795</v>
      </c>
      <c r="R7" s="57">
        <v>101.265115403626</v>
      </c>
      <c r="S7" s="57">
        <v>116.601800407559</v>
      </c>
      <c r="T7" s="57">
        <v>111.87229966084</v>
      </c>
    </row>
    <row r="8" spans="1:20" s="50" customFormat="1" x14ac:dyDescent="0.25">
      <c r="A8" s="51" t="s">
        <v>186</v>
      </c>
      <c r="B8" s="57"/>
      <c r="C8" s="57"/>
      <c r="D8" s="57"/>
      <c r="E8" s="57"/>
      <c r="F8" s="58">
        <v>0</v>
      </c>
      <c r="G8" s="58">
        <v>0</v>
      </c>
      <c r="H8" s="58">
        <v>0</v>
      </c>
      <c r="I8" s="58">
        <v>0</v>
      </c>
      <c r="J8" s="57">
        <v>8.5675838292293793</v>
      </c>
      <c r="K8" s="57">
        <v>9.1295239063842892</v>
      </c>
      <c r="L8" s="57">
        <v>14.5845394540814</v>
      </c>
      <c r="M8" s="57">
        <v>18.9379119244539</v>
      </c>
      <c r="N8" s="57">
        <v>27.8038395414349</v>
      </c>
      <c r="O8" s="57">
        <v>28.905552167578801</v>
      </c>
      <c r="P8" s="57">
        <v>30.7279493818133</v>
      </c>
      <c r="Q8" s="57">
        <v>50.7652422005253</v>
      </c>
      <c r="R8" s="57">
        <v>61.198450955963501</v>
      </c>
      <c r="S8" s="58">
        <v>72.297772121580707</v>
      </c>
      <c r="T8" s="58">
        <v>85.443808712462101</v>
      </c>
    </row>
    <row r="9" spans="1:20" s="50" customFormat="1" x14ac:dyDescent="0.25">
      <c r="A9" s="51" t="s">
        <v>187</v>
      </c>
      <c r="B9" s="57"/>
      <c r="C9" s="57"/>
      <c r="D9" s="57"/>
      <c r="E9" s="57"/>
      <c r="F9" s="58">
        <v>0</v>
      </c>
      <c r="G9" s="58">
        <v>0</v>
      </c>
      <c r="H9" s="57">
        <v>3.2825758609455599E-3</v>
      </c>
      <c r="I9" s="57">
        <v>2.6809576936932399E-3</v>
      </c>
      <c r="J9" s="57"/>
      <c r="K9" s="58">
        <v>0.51852884108341002</v>
      </c>
      <c r="L9" s="57">
        <v>7.4017658165860798</v>
      </c>
      <c r="M9" s="57">
        <v>8.08624015532431</v>
      </c>
      <c r="N9" s="57">
        <v>11.8767121454324</v>
      </c>
      <c r="O9" s="57">
        <v>10.7848123765646</v>
      </c>
      <c r="P9" s="57">
        <v>10.484469785242901</v>
      </c>
      <c r="Q9" s="57">
        <v>10.332807166437499</v>
      </c>
      <c r="R9" s="57">
        <v>7.9712970155137297</v>
      </c>
      <c r="S9" s="57">
        <v>7.6616062475935696</v>
      </c>
      <c r="T9" s="57">
        <v>10.2738532227372</v>
      </c>
    </row>
    <row r="10" spans="1:20" s="50" customFormat="1" x14ac:dyDescent="0.25">
      <c r="A10" s="51" t="s">
        <v>189</v>
      </c>
      <c r="B10" s="57"/>
      <c r="C10" s="57"/>
      <c r="D10" s="57"/>
      <c r="E10" s="57"/>
      <c r="F10" s="58">
        <v>0</v>
      </c>
      <c r="G10" s="58">
        <v>0</v>
      </c>
      <c r="H10" s="57">
        <v>2.9328552127590899</v>
      </c>
      <c r="I10" s="57">
        <v>22.243751892256199</v>
      </c>
      <c r="J10" s="57">
        <v>41.533505783591202</v>
      </c>
      <c r="K10" s="57">
        <v>50.387838993141102</v>
      </c>
      <c r="L10" s="57">
        <v>69.013103197929695</v>
      </c>
      <c r="M10" s="57">
        <v>70.052326193922994</v>
      </c>
      <c r="N10" s="57">
        <v>74.455100771505897</v>
      </c>
      <c r="O10" s="57">
        <v>70.784647896925506</v>
      </c>
      <c r="P10" s="57">
        <v>81.873122947886003</v>
      </c>
      <c r="Q10" s="57">
        <v>81.555882404372397</v>
      </c>
      <c r="R10" s="57">
        <v>86.852002036198698</v>
      </c>
      <c r="S10" s="57">
        <v>85.123167115928894</v>
      </c>
      <c r="T10" s="57">
        <v>100.81519189938901</v>
      </c>
    </row>
    <row r="11" spans="1:20" s="50" customFormat="1" x14ac:dyDescent="0.25">
      <c r="A11" s="51" t="s">
        <v>188</v>
      </c>
      <c r="B11" s="57"/>
      <c r="C11" s="57"/>
      <c r="D11" s="57"/>
      <c r="E11" s="58">
        <v>0</v>
      </c>
      <c r="F11" s="57">
        <v>0</v>
      </c>
      <c r="G11" s="58">
        <v>0</v>
      </c>
      <c r="H11" s="58">
        <v>0</v>
      </c>
      <c r="I11" s="57">
        <v>0</v>
      </c>
      <c r="J11" s="57">
        <v>0</v>
      </c>
      <c r="K11" s="58">
        <v>0.31731794891298898</v>
      </c>
      <c r="L11" s="58">
        <v>4.3930141585967704</v>
      </c>
      <c r="M11" s="57">
        <v>10.499066668809901</v>
      </c>
      <c r="N11" s="57">
        <v>17.6678291459998</v>
      </c>
      <c r="O11" s="57">
        <v>16.406527303879798</v>
      </c>
      <c r="P11" s="57">
        <v>18.940637522129499</v>
      </c>
      <c r="Q11" s="57">
        <v>41.287377399595997</v>
      </c>
      <c r="R11" s="57">
        <v>38.559040395592802</v>
      </c>
      <c r="S11" s="57">
        <v>36.403862645552302</v>
      </c>
      <c r="T11" s="57">
        <v>24.4501622282021</v>
      </c>
    </row>
    <row r="12" spans="1:20" s="50" customFormat="1" x14ac:dyDescent="0.25">
      <c r="A12" s="51" t="s">
        <v>190</v>
      </c>
      <c r="B12" s="57"/>
      <c r="C12" s="57"/>
      <c r="D12" s="57"/>
      <c r="E12" s="57"/>
      <c r="F12" s="57">
        <v>0</v>
      </c>
      <c r="G12" s="58">
        <v>0</v>
      </c>
      <c r="H12" s="58">
        <v>0</v>
      </c>
      <c r="I12" s="58">
        <v>0</v>
      </c>
      <c r="J12" s="57"/>
      <c r="K12" s="57">
        <v>1.2858027220213299</v>
      </c>
      <c r="L12" s="57">
        <v>2.6735892096463401</v>
      </c>
      <c r="M12" s="57">
        <v>3.41121119604859</v>
      </c>
      <c r="N12" s="57">
        <v>4.6104202118238602</v>
      </c>
      <c r="O12" s="57">
        <v>5.0886955159995901</v>
      </c>
      <c r="P12" s="57">
        <v>4.8263768319351001</v>
      </c>
      <c r="Q12" s="58">
        <v>5.6698048870933002</v>
      </c>
      <c r="R12" s="58">
        <v>5.5750083136088904</v>
      </c>
      <c r="S12" s="58">
        <v>5.4747521547010498</v>
      </c>
      <c r="T12" s="58">
        <v>5.3043025793117504</v>
      </c>
    </row>
    <row r="13" spans="1:20" s="50" customFormat="1" x14ac:dyDescent="0.25">
      <c r="A13" s="51" t="s">
        <v>191</v>
      </c>
      <c r="B13" s="57"/>
      <c r="C13" s="57"/>
      <c r="D13" s="57"/>
      <c r="E13" s="57"/>
      <c r="F13" s="58">
        <v>0</v>
      </c>
      <c r="G13" s="58">
        <v>0</v>
      </c>
      <c r="H13" s="58">
        <v>0</v>
      </c>
      <c r="I13" s="58">
        <v>0</v>
      </c>
      <c r="J13" s="57">
        <v>0</v>
      </c>
      <c r="K13" s="57">
        <v>0.46524418976877202</v>
      </c>
      <c r="L13" s="58">
        <v>1.27806419895763</v>
      </c>
      <c r="M13" s="57"/>
      <c r="N13" s="57">
        <v>3.35893295159965</v>
      </c>
      <c r="O13" s="57">
        <v>3.7890250079054701</v>
      </c>
      <c r="P13" s="57">
        <v>2.85173293758195</v>
      </c>
      <c r="Q13" s="57">
        <v>3.1507466699379401</v>
      </c>
      <c r="R13" s="57">
        <v>5.3323560840693904</v>
      </c>
      <c r="S13" s="57">
        <v>3.2629243519861699</v>
      </c>
      <c r="T13" s="57">
        <v>5.8296095504419903</v>
      </c>
    </row>
    <row r="14" spans="1:20" s="50" customFormat="1" x14ac:dyDescent="0.25">
      <c r="A14" s="51" t="s">
        <v>192</v>
      </c>
      <c r="B14" s="57"/>
      <c r="C14" s="57"/>
      <c r="D14" s="57"/>
      <c r="E14" s="58">
        <v>0</v>
      </c>
      <c r="F14" s="58">
        <v>0</v>
      </c>
      <c r="G14" s="58">
        <v>0</v>
      </c>
      <c r="H14" s="58">
        <v>0.433865454851527</v>
      </c>
      <c r="I14" s="57">
        <v>1.8590851079538899</v>
      </c>
      <c r="J14" s="57">
        <v>9.5802865043516707</v>
      </c>
      <c r="K14" s="57"/>
      <c r="L14" s="57"/>
      <c r="M14" s="57"/>
      <c r="N14" s="57">
        <v>5.7746096952519803</v>
      </c>
      <c r="O14" s="57"/>
      <c r="P14" s="57">
        <v>37.958495269698503</v>
      </c>
      <c r="Q14" s="57">
        <v>50.166953744712799</v>
      </c>
      <c r="R14" s="57">
        <v>53.392774800103801</v>
      </c>
      <c r="S14" s="57">
        <v>50.2559690769206</v>
      </c>
      <c r="T14" s="57">
        <v>57.517696027016498</v>
      </c>
    </row>
    <row r="15" spans="1:20" s="50" customFormat="1" x14ac:dyDescent="0.25">
      <c r="A15" s="51" t="s">
        <v>193</v>
      </c>
      <c r="B15" s="57"/>
      <c r="C15" s="57"/>
      <c r="D15" s="57"/>
      <c r="E15" s="57"/>
      <c r="F15" s="57">
        <v>0</v>
      </c>
      <c r="G15" s="57">
        <v>0</v>
      </c>
      <c r="H15" s="57">
        <v>0</v>
      </c>
      <c r="I15" s="57"/>
      <c r="J15" s="58">
        <v>12.531446097550999</v>
      </c>
      <c r="K15" s="57">
        <v>20.828620405876801</v>
      </c>
      <c r="L15" s="57">
        <v>34.0729361901221</v>
      </c>
      <c r="M15" s="57">
        <v>39.865222001042298</v>
      </c>
      <c r="N15" s="57">
        <v>48.985163562606303</v>
      </c>
      <c r="O15" s="57">
        <v>56.226022170775003</v>
      </c>
      <c r="P15" s="57">
        <v>60.373686966155297</v>
      </c>
      <c r="Q15" s="57">
        <v>67.961618026405205</v>
      </c>
      <c r="R15" s="57">
        <v>73.496288900818797</v>
      </c>
      <c r="S15" s="57">
        <v>84.660928793490498</v>
      </c>
      <c r="T15" s="57">
        <v>93.601764301175905</v>
      </c>
    </row>
    <row r="16" spans="1:20" s="50" customFormat="1" x14ac:dyDescent="0.25">
      <c r="A16" s="51" t="s">
        <v>249</v>
      </c>
      <c r="B16" s="57"/>
      <c r="C16" s="57"/>
      <c r="D16" s="57"/>
      <c r="E16" s="57"/>
      <c r="F16" s="58">
        <v>0</v>
      </c>
      <c r="G16" s="58">
        <v>0</v>
      </c>
      <c r="H16" s="58">
        <v>0</v>
      </c>
      <c r="I16" s="57">
        <v>0.88663079234131004</v>
      </c>
      <c r="J16" s="57">
        <v>2.8600716498660499</v>
      </c>
      <c r="K16" s="57">
        <v>7.0217721353920499</v>
      </c>
      <c r="L16" s="57">
        <v>7.4497815038689597</v>
      </c>
      <c r="M16" s="57">
        <v>12.363530529501499</v>
      </c>
      <c r="N16" s="57">
        <v>15.156266639939799</v>
      </c>
      <c r="O16" s="57">
        <v>14.836646919934999</v>
      </c>
      <c r="P16" s="57">
        <v>18.236134997668898</v>
      </c>
      <c r="Q16" s="57">
        <v>21.750366116269699</v>
      </c>
      <c r="R16" s="57">
        <v>23.325577526140201</v>
      </c>
      <c r="S16" s="57">
        <v>25.327996039882699</v>
      </c>
      <c r="T16" s="57">
        <v>28.3430836968477</v>
      </c>
    </row>
    <row r="17" spans="1:20" s="50" customFormat="1" x14ac:dyDescent="0.25">
      <c r="A17" s="51" t="s">
        <v>194</v>
      </c>
      <c r="B17" s="57"/>
      <c r="C17" s="57"/>
      <c r="D17" s="57"/>
      <c r="E17" s="58">
        <v>0</v>
      </c>
      <c r="F17" s="58">
        <v>0</v>
      </c>
      <c r="G17" s="58">
        <v>0</v>
      </c>
      <c r="H17" s="58">
        <v>0</v>
      </c>
      <c r="I17" s="57">
        <v>0</v>
      </c>
      <c r="J17" s="57">
        <v>0</v>
      </c>
      <c r="K17" s="58">
        <v>0</v>
      </c>
      <c r="L17" s="57">
        <v>2.1046506589413601E-2</v>
      </c>
      <c r="M17" s="57"/>
      <c r="N17" s="57">
        <v>2.72658148126339E-2</v>
      </c>
      <c r="O17" s="57">
        <v>0.11420285049325</v>
      </c>
      <c r="P17" s="58">
        <v>0.47899114884230798</v>
      </c>
      <c r="Q17" s="57">
        <v>0.46420906186424699</v>
      </c>
      <c r="R17" s="57">
        <v>0.68780397387743597</v>
      </c>
      <c r="S17" s="57">
        <v>0.83080821382333103</v>
      </c>
      <c r="T17" s="58"/>
    </row>
    <row r="18" spans="1:20" s="50" customFormat="1" x14ac:dyDescent="0.25">
      <c r="A18" s="51" t="s">
        <v>195</v>
      </c>
      <c r="B18" s="57"/>
      <c r="C18" s="57"/>
      <c r="D18" s="57"/>
      <c r="E18" s="57"/>
      <c r="F18" s="58">
        <v>0</v>
      </c>
      <c r="G18" s="58">
        <v>0</v>
      </c>
      <c r="H18" s="58">
        <v>0</v>
      </c>
      <c r="I18" s="57">
        <v>0</v>
      </c>
      <c r="J18" s="57">
        <v>0</v>
      </c>
      <c r="K18" s="58">
        <v>0</v>
      </c>
      <c r="L18" s="58">
        <v>0</v>
      </c>
      <c r="M18" s="58">
        <v>0</v>
      </c>
      <c r="N18" s="58">
        <v>0</v>
      </c>
      <c r="O18" s="57"/>
      <c r="P18" s="57"/>
      <c r="Q18" s="57"/>
      <c r="R18" s="58">
        <v>27.0157779440705</v>
      </c>
      <c r="S18" s="58">
        <v>29.174496626579</v>
      </c>
      <c r="T18" s="58">
        <v>31.500782332821402</v>
      </c>
    </row>
    <row r="19" spans="1:20" s="50" customFormat="1" x14ac:dyDescent="0.25">
      <c r="A19" s="51" t="s">
        <v>196</v>
      </c>
      <c r="B19" s="57"/>
      <c r="C19" s="57"/>
      <c r="D19" s="57"/>
      <c r="E19" s="57"/>
      <c r="F19" s="57">
        <v>0</v>
      </c>
      <c r="G19" s="57">
        <v>0.26986911347996201</v>
      </c>
      <c r="H19" s="57">
        <v>0.715670408728316</v>
      </c>
      <c r="I19" s="57"/>
      <c r="J19" s="58">
        <v>2.6814396587580398</v>
      </c>
      <c r="K19" s="58">
        <v>8.8885055781972895</v>
      </c>
      <c r="L19" s="58">
        <v>14.0005407708873</v>
      </c>
      <c r="M19" s="58">
        <v>14.715003910371999</v>
      </c>
      <c r="N19" s="57">
        <v>56.150130159429096</v>
      </c>
      <c r="O19" s="57">
        <v>59.222929707450199</v>
      </c>
      <c r="P19" s="57">
        <v>68.851928256746106</v>
      </c>
      <c r="Q19" s="57">
        <v>83.853247468620296</v>
      </c>
      <c r="R19" s="57">
        <v>113.149421553084</v>
      </c>
      <c r="S19" s="57">
        <v>111.928047602913</v>
      </c>
      <c r="T19" s="57">
        <v>120.087508715927</v>
      </c>
    </row>
    <row r="20" spans="1:20" s="50" customFormat="1" x14ac:dyDescent="0.25">
      <c r="A20" s="51" t="s">
        <v>197</v>
      </c>
      <c r="B20" s="57"/>
      <c r="C20" s="57"/>
      <c r="D20" s="57"/>
      <c r="E20" s="57"/>
      <c r="F20" s="58">
        <v>9.0901203163780003E-2</v>
      </c>
      <c r="G20" s="58">
        <v>0.12812227070570201</v>
      </c>
      <c r="H20" s="58">
        <v>0.257649036279883</v>
      </c>
      <c r="I20" s="57">
        <v>3.85953610446782</v>
      </c>
      <c r="J20" s="57">
        <v>4.5729105197606597</v>
      </c>
      <c r="K20" s="57">
        <v>7.2052020454606396</v>
      </c>
      <c r="L20" s="57">
        <v>3.4948494535831802</v>
      </c>
      <c r="M20" s="57">
        <v>5.01601592426226</v>
      </c>
      <c r="N20" s="57">
        <v>13.4845213096607</v>
      </c>
      <c r="O20" s="57"/>
      <c r="P20" s="58">
        <v>16.512383038762898</v>
      </c>
      <c r="Q20" s="57">
        <v>19.3411120539016</v>
      </c>
      <c r="R20" s="57">
        <v>21.369167948789499</v>
      </c>
      <c r="S20" s="57">
        <v>26.478596955294702</v>
      </c>
      <c r="T20" s="57">
        <v>32.169908839181304</v>
      </c>
    </row>
    <row r="21" spans="1:20" s="50" customFormat="1" x14ac:dyDescent="0.25">
      <c r="A21" s="51" t="s">
        <v>198</v>
      </c>
      <c r="B21" s="57"/>
      <c r="C21" s="57"/>
      <c r="D21" s="57"/>
      <c r="E21" s="57"/>
      <c r="F21" s="58">
        <v>0</v>
      </c>
      <c r="G21" s="58">
        <v>0</v>
      </c>
      <c r="H21" s="58">
        <v>0</v>
      </c>
      <c r="I21" s="58">
        <v>0</v>
      </c>
      <c r="J21" s="58">
        <v>0</v>
      </c>
      <c r="K21" s="57">
        <v>13.6473987299832</v>
      </c>
      <c r="L21" s="57">
        <v>31.1854693974343</v>
      </c>
      <c r="M21" s="57">
        <v>78.573741159621505</v>
      </c>
      <c r="N21" s="57">
        <v>78.916222356159295</v>
      </c>
      <c r="O21" s="57">
        <v>87.954218154894505</v>
      </c>
      <c r="P21" s="57">
        <v>90.344383266613903</v>
      </c>
      <c r="Q21" s="57">
        <v>89.192775664908098</v>
      </c>
      <c r="R21" s="57">
        <v>94.890441540912207</v>
      </c>
      <c r="S21" s="57">
        <v>89.872989661202894</v>
      </c>
      <c r="T21" s="57">
        <v>89.337364259098095</v>
      </c>
    </row>
    <row r="22" spans="1:20" s="50" customFormat="1" x14ac:dyDescent="0.25">
      <c r="A22" s="51" t="s">
        <v>199</v>
      </c>
      <c r="B22" s="57"/>
      <c r="C22" s="57"/>
      <c r="D22" s="57"/>
      <c r="E22" s="57"/>
      <c r="F22" s="58">
        <v>0.213741208556916</v>
      </c>
      <c r="G22" s="58">
        <v>0.415232815849437</v>
      </c>
      <c r="H22" s="58">
        <v>0.45367842466720198</v>
      </c>
      <c r="I22" s="57">
        <v>1.0883982822131499</v>
      </c>
      <c r="J22" s="57">
        <v>2.2014716087878199</v>
      </c>
      <c r="K22" s="57">
        <v>7.0935095318702297</v>
      </c>
      <c r="L22" s="57">
        <v>11.914971663664501</v>
      </c>
      <c r="M22" s="57">
        <v>18.922141424986499</v>
      </c>
      <c r="N22" s="57">
        <v>24.2508183583818</v>
      </c>
      <c r="O22" s="57">
        <v>34.930772718483503</v>
      </c>
      <c r="P22" s="57">
        <v>39.752829239463303</v>
      </c>
      <c r="Q22" s="58">
        <v>52.748045996932099</v>
      </c>
      <c r="R22" s="57">
        <v>56.511581864977202</v>
      </c>
      <c r="S22" s="58">
        <v>60.102864815453998</v>
      </c>
      <c r="T22" s="58">
        <v>70.137461566546605</v>
      </c>
    </row>
    <row r="23" spans="1:20" s="50" customFormat="1" x14ac:dyDescent="0.25">
      <c r="A23" s="51" t="s">
        <v>200</v>
      </c>
      <c r="B23" s="57"/>
      <c r="C23" s="57"/>
      <c r="D23" s="57"/>
      <c r="E23" s="57"/>
      <c r="F23" s="57"/>
      <c r="G23" s="57">
        <v>6.5655596792070003</v>
      </c>
      <c r="H23" s="57">
        <v>22.0261223108349</v>
      </c>
      <c r="I23" s="57">
        <v>31.821566986610598</v>
      </c>
      <c r="J23" s="57">
        <v>37.697612808030698</v>
      </c>
      <c r="K23" s="57">
        <v>56.366004469361101</v>
      </c>
      <c r="L23" s="57">
        <v>62.835047644855003</v>
      </c>
      <c r="M23" s="57">
        <v>67.264119431236594</v>
      </c>
      <c r="N23" s="57">
        <v>78.484108125357395</v>
      </c>
      <c r="O23" s="57">
        <v>89.147799997943693</v>
      </c>
      <c r="P23" s="57">
        <v>97.211671731083698</v>
      </c>
      <c r="Q23" s="57">
        <v>83.141977550103903</v>
      </c>
      <c r="R23" s="57">
        <v>72.159127688667397</v>
      </c>
      <c r="S23" s="57">
        <v>69.053033392830102</v>
      </c>
      <c r="T23" s="57">
        <v>56.489977451700597</v>
      </c>
    </row>
    <row r="24" spans="1:20" s="50" customFormat="1" x14ac:dyDescent="0.25">
      <c r="A24" s="51" t="s">
        <v>201</v>
      </c>
      <c r="B24" s="57"/>
      <c r="C24" s="57"/>
      <c r="D24" s="57"/>
      <c r="E24" s="57"/>
      <c r="F24" s="58">
        <v>0</v>
      </c>
      <c r="G24" s="58">
        <v>0</v>
      </c>
      <c r="H24" s="58">
        <v>0</v>
      </c>
      <c r="I24" s="58">
        <v>0</v>
      </c>
      <c r="J24" s="58">
        <v>1.34025823917051</v>
      </c>
      <c r="K24" s="57">
        <v>11.3484583354688</v>
      </c>
      <c r="L24" s="57">
        <v>14.6123546473336</v>
      </c>
      <c r="M24" s="57"/>
      <c r="N24" s="57"/>
      <c r="O24" s="57">
        <v>23.2867503192107</v>
      </c>
      <c r="P24" s="57">
        <v>22.697947407564602</v>
      </c>
      <c r="Q24" s="58">
        <v>23.7077003583004</v>
      </c>
      <c r="R24" s="58">
        <v>23.120943760455901</v>
      </c>
      <c r="S24" s="58">
        <v>23.0997819516096</v>
      </c>
      <c r="T24" s="58">
        <v>23.0835957568334</v>
      </c>
    </row>
    <row r="25" spans="1:20" s="50" customFormat="1" x14ac:dyDescent="0.25">
      <c r="A25" s="51" t="s">
        <v>202</v>
      </c>
      <c r="B25" s="57"/>
      <c r="C25" s="57"/>
      <c r="D25" s="57"/>
      <c r="E25" s="57"/>
      <c r="F25" s="58">
        <v>0</v>
      </c>
      <c r="G25" s="58">
        <v>0</v>
      </c>
      <c r="H25" s="57">
        <v>0</v>
      </c>
      <c r="I25" s="58">
        <v>0</v>
      </c>
      <c r="J25" s="58">
        <v>0</v>
      </c>
      <c r="K25" s="58">
        <v>0</v>
      </c>
      <c r="L25" s="58">
        <v>0</v>
      </c>
      <c r="M25" s="57">
        <v>6.8875201772155901</v>
      </c>
      <c r="N25" s="57">
        <v>8.3964813283667308</v>
      </c>
      <c r="O25" s="57">
        <v>17.280591498766</v>
      </c>
      <c r="P25" s="57">
        <v>35.836836584513101</v>
      </c>
      <c r="Q25" s="57">
        <v>38.8197222905196</v>
      </c>
      <c r="R25" s="57">
        <v>52.988696067350503</v>
      </c>
      <c r="S25" s="57">
        <v>62.497833086127102</v>
      </c>
      <c r="T25" s="57">
        <v>73.517546470852906</v>
      </c>
    </row>
    <row r="26" spans="1:20" s="50" customFormat="1" x14ac:dyDescent="0.25">
      <c r="A26" s="51" t="s">
        <v>203</v>
      </c>
      <c r="B26" s="57"/>
      <c r="C26" s="57"/>
      <c r="D26" s="57"/>
      <c r="E26" s="57"/>
      <c r="F26" s="57"/>
      <c r="G26" s="57">
        <v>0.198797713392387</v>
      </c>
      <c r="H26" s="57">
        <v>0.42768845211711398</v>
      </c>
      <c r="I26" s="57">
        <v>2.1619587341984898</v>
      </c>
      <c r="J26" s="57">
        <v>5.20508342104241</v>
      </c>
      <c r="K26" s="57">
        <v>8.8506483184890605</v>
      </c>
      <c r="L26" s="57">
        <v>15.105571578095301</v>
      </c>
      <c r="M26" s="57">
        <v>26.062817982177599</v>
      </c>
      <c r="N26" s="57">
        <v>34.405218724768901</v>
      </c>
      <c r="O26" s="57">
        <v>42.909114440710603</v>
      </c>
      <c r="P26" s="57">
        <v>42.176518886349797</v>
      </c>
      <c r="Q26" s="57">
        <v>48.153919539438803</v>
      </c>
      <c r="R26" s="57">
        <v>53.290278919440397</v>
      </c>
      <c r="S26" s="57">
        <v>58.777919770312401</v>
      </c>
      <c r="T26" s="57">
        <v>65.990968431433402</v>
      </c>
    </row>
    <row r="27" spans="1:20" s="50" customFormat="1" x14ac:dyDescent="0.25">
      <c r="A27" s="51" t="s">
        <v>204</v>
      </c>
      <c r="B27" s="57"/>
      <c r="C27" s="57"/>
      <c r="D27" s="57"/>
      <c r="E27" s="57"/>
      <c r="F27" s="57"/>
      <c r="G27" s="57">
        <v>1.88187757952282</v>
      </c>
      <c r="H27" s="57"/>
      <c r="I27" s="57">
        <v>7.5124585003396698</v>
      </c>
      <c r="J27" s="57">
        <v>7.4654364883316502</v>
      </c>
      <c r="K27" s="57">
        <v>25.6636615067913</v>
      </c>
      <c r="L27" s="57">
        <v>39.493949238125197</v>
      </c>
      <c r="M27" s="57">
        <v>37.140294270337101</v>
      </c>
      <c r="N27" s="57">
        <v>50.268368326140099</v>
      </c>
      <c r="O27" s="57">
        <v>55.453211962064501</v>
      </c>
      <c r="P27" s="57">
        <v>59.503803060099898</v>
      </c>
      <c r="Q27" s="57">
        <v>61.969507010471297</v>
      </c>
      <c r="R27" s="57">
        <v>64.754446302567004</v>
      </c>
      <c r="S27" s="57">
        <v>67.696961213589901</v>
      </c>
      <c r="T27" s="57">
        <v>61.046251046951902</v>
      </c>
    </row>
    <row r="28" spans="1:20" s="50" customFormat="1" x14ac:dyDescent="0.25">
      <c r="A28" s="51" t="s">
        <v>205</v>
      </c>
      <c r="B28" s="57"/>
      <c r="C28" s="57"/>
      <c r="D28" s="57"/>
      <c r="E28" s="58">
        <v>0</v>
      </c>
      <c r="F28" s="57">
        <v>4.1085176164105397E-3</v>
      </c>
      <c r="G28" s="57">
        <v>5.0752792019493004E-3</v>
      </c>
      <c r="H28" s="57">
        <v>5.4250259050909501E-3</v>
      </c>
      <c r="I28" s="57">
        <v>1.47494547846888E-2</v>
      </c>
      <c r="J28" s="57">
        <v>1.66621963613131</v>
      </c>
      <c r="K28" s="58">
        <v>3.2863797306614599</v>
      </c>
      <c r="L28" s="57">
        <v>5.06499613364808</v>
      </c>
      <c r="M28" s="57">
        <v>9.7451472030495392</v>
      </c>
      <c r="N28" s="58">
        <v>11.342720293673301</v>
      </c>
      <c r="O28" s="58">
        <v>24.713199477584801</v>
      </c>
      <c r="P28" s="58">
        <v>34.577646146565201</v>
      </c>
      <c r="Q28" s="57"/>
      <c r="R28" s="57"/>
      <c r="S28" s="57">
        <v>40.656141279446103</v>
      </c>
      <c r="T28" s="58">
        <v>41.4505215790699</v>
      </c>
    </row>
    <row r="29" spans="1:20" s="50" customFormat="1" x14ac:dyDescent="0.25">
      <c r="A29" s="51" t="s">
        <v>206</v>
      </c>
      <c r="B29" s="57"/>
      <c r="C29" s="57"/>
      <c r="D29" s="57"/>
      <c r="E29" s="57"/>
      <c r="F29" s="57"/>
      <c r="G29" s="57">
        <v>4.3762571371128101E-2</v>
      </c>
      <c r="H29" s="58">
        <v>4.8198472546588197E-2</v>
      </c>
      <c r="I29" s="57">
        <v>0.30856128421095902</v>
      </c>
      <c r="J29" s="57">
        <v>2.9198868983698798</v>
      </c>
      <c r="K29" s="57">
        <v>5.8004757484428797</v>
      </c>
      <c r="L29" s="57">
        <v>9.3025080484287805</v>
      </c>
      <c r="M29" s="57">
        <v>7.7454242061441301</v>
      </c>
      <c r="N29" s="57">
        <v>12.3825092040857</v>
      </c>
      <c r="O29" s="57">
        <v>14.902353256015299</v>
      </c>
      <c r="P29" s="57">
        <v>15.579427655022499</v>
      </c>
      <c r="Q29" s="57">
        <v>16.432012703379201</v>
      </c>
      <c r="R29" s="57">
        <v>17.376509977760001</v>
      </c>
      <c r="S29" s="57">
        <v>23.4292632310115</v>
      </c>
      <c r="T29" s="57">
        <v>26.0507523865612</v>
      </c>
    </row>
    <row r="30" spans="1:20" s="50" customFormat="1" x14ac:dyDescent="0.25">
      <c r="A30" s="51" t="s">
        <v>207</v>
      </c>
      <c r="B30" s="57"/>
      <c r="C30" s="57"/>
      <c r="D30" s="57"/>
      <c r="E30" s="57"/>
      <c r="F30" s="57">
        <v>0</v>
      </c>
      <c r="G30" s="57">
        <v>0.58649861399849701</v>
      </c>
      <c r="H30" s="57">
        <v>3.1030679156571099</v>
      </c>
      <c r="I30" s="57">
        <v>4.1526070370959101</v>
      </c>
      <c r="J30" s="57">
        <v>6.1341807133554802</v>
      </c>
      <c r="K30" s="57">
        <v>10.989548620590901</v>
      </c>
      <c r="L30" s="57">
        <v>16.394075310377101</v>
      </c>
      <c r="M30" s="57">
        <v>18.7609577748023</v>
      </c>
      <c r="N30" s="57">
        <v>26.311901268950201</v>
      </c>
      <c r="O30" s="57">
        <v>26.642769966301401</v>
      </c>
      <c r="P30" s="57">
        <v>31.2123589122785</v>
      </c>
      <c r="Q30" s="57">
        <v>34.927168621013898</v>
      </c>
      <c r="R30" s="57">
        <v>38.9900105041797</v>
      </c>
      <c r="S30" s="57">
        <v>38.039031874017702</v>
      </c>
      <c r="T30" s="57">
        <v>40.159000348835903</v>
      </c>
    </row>
    <row r="31" spans="1:20" s="50" customFormat="1" x14ac:dyDescent="0.25">
      <c r="A31" s="51" t="s">
        <v>208</v>
      </c>
      <c r="B31" s="57"/>
      <c r="C31" s="57"/>
      <c r="D31" s="57"/>
      <c r="E31" s="57"/>
      <c r="F31" s="57"/>
      <c r="G31" s="58">
        <v>0.39813867472827902</v>
      </c>
      <c r="H31" s="57">
        <v>0.25885526237732398</v>
      </c>
      <c r="I31" s="57">
        <v>0.63279348456773099</v>
      </c>
      <c r="J31" s="57">
        <v>1.6117881178937801</v>
      </c>
      <c r="K31" s="57">
        <v>9.8855582994413993</v>
      </c>
      <c r="L31" s="57">
        <v>16.474922688737699</v>
      </c>
      <c r="M31" s="57">
        <v>21.330239985443399</v>
      </c>
      <c r="N31" s="57">
        <v>28.651677425505898</v>
      </c>
      <c r="O31" s="57">
        <v>28.259052550064698</v>
      </c>
      <c r="P31" s="57">
        <v>32.724570274778799</v>
      </c>
      <c r="Q31" s="57">
        <v>43.162018908128402</v>
      </c>
      <c r="R31" s="57">
        <v>39.166903021757001</v>
      </c>
      <c r="S31" s="57">
        <v>57.264443947463299</v>
      </c>
      <c r="T31" s="58">
        <v>59.090658989330599</v>
      </c>
    </row>
    <row r="32" spans="1:20" s="50" customFormat="1" x14ac:dyDescent="0.25">
      <c r="A32" s="51" t="s">
        <v>209</v>
      </c>
      <c r="B32" s="57"/>
      <c r="C32" s="57"/>
      <c r="D32" s="57">
        <v>3.0822721694375299</v>
      </c>
      <c r="E32" s="57">
        <v>8.2219615811585296</v>
      </c>
      <c r="F32" s="57">
        <v>13.9956152284804</v>
      </c>
      <c r="G32" s="57">
        <v>13.837900880090499</v>
      </c>
      <c r="H32" s="57">
        <v>12.571262420632699</v>
      </c>
      <c r="I32" s="57">
        <v>21.9055671478548</v>
      </c>
      <c r="J32" s="57">
        <v>27.707547111350699</v>
      </c>
      <c r="K32" s="57">
        <v>30.688735724707001</v>
      </c>
      <c r="L32" s="57">
        <v>35.921146814726001</v>
      </c>
      <c r="M32" s="57">
        <v>50.379198685867699</v>
      </c>
      <c r="N32" s="57">
        <v>69.948979394183596</v>
      </c>
      <c r="O32" s="57">
        <v>77.690437783638401</v>
      </c>
      <c r="P32" s="57">
        <v>86.257162182123494</v>
      </c>
      <c r="Q32" s="57">
        <v>97.068085593852402</v>
      </c>
      <c r="R32" s="57">
        <v>110.321555645686</v>
      </c>
      <c r="S32" s="57">
        <v>119.47058685243699</v>
      </c>
      <c r="T32" s="57">
        <v>124.891252116069</v>
      </c>
    </row>
    <row r="33" spans="1:20" s="50" customFormat="1" x14ac:dyDescent="0.25">
      <c r="A33" s="51" t="s">
        <v>210</v>
      </c>
      <c r="B33" s="57"/>
      <c r="C33" s="57"/>
      <c r="D33" s="57"/>
      <c r="E33" s="57"/>
      <c r="F33" s="57"/>
      <c r="G33" s="58">
        <v>0.604367927889775</v>
      </c>
      <c r="H33" s="58">
        <v>1.0571254079288399</v>
      </c>
      <c r="I33" s="58">
        <v>1.8473286419841799</v>
      </c>
      <c r="J33" s="58">
        <v>2.1723153852261201</v>
      </c>
      <c r="K33" s="57">
        <v>3.0584437427959599</v>
      </c>
      <c r="L33" s="57">
        <v>45.912496253894702</v>
      </c>
      <c r="M33" s="57">
        <v>34.558432577260803</v>
      </c>
      <c r="N33" s="57">
        <v>27.0603090711686</v>
      </c>
      <c r="O33" s="57">
        <v>15.314337224027399</v>
      </c>
      <c r="P33" s="57">
        <v>17.9544832450933</v>
      </c>
      <c r="Q33" s="57">
        <v>17.002202595088701</v>
      </c>
      <c r="R33" s="57">
        <v>19.6825576041226</v>
      </c>
      <c r="S33" s="57">
        <v>23.385284395518099</v>
      </c>
      <c r="T33" s="58">
        <v>27.7828320126915</v>
      </c>
    </row>
    <row r="34" spans="1:20" s="50" customFormat="1" x14ac:dyDescent="0.25">
      <c r="A34" s="51" t="s">
        <v>211</v>
      </c>
      <c r="B34" s="57"/>
      <c r="C34" s="57"/>
      <c r="D34" s="57"/>
      <c r="E34" s="57"/>
      <c r="F34" s="57">
        <v>1.26485394681991</v>
      </c>
      <c r="G34" s="57">
        <v>14.721176446610601</v>
      </c>
      <c r="H34" s="57">
        <v>22.636646360639698</v>
      </c>
      <c r="I34" s="57">
        <v>29.1851016151065</v>
      </c>
      <c r="J34" s="57">
        <v>34.983893508924297</v>
      </c>
      <c r="K34" s="57">
        <v>34.700033172746103</v>
      </c>
      <c r="L34" s="57">
        <v>36.093290654087497</v>
      </c>
      <c r="M34" s="57">
        <v>66.0616764505601</v>
      </c>
      <c r="N34" s="57">
        <v>56.364653212613597</v>
      </c>
      <c r="O34" s="57">
        <v>66.017428133876706</v>
      </c>
      <c r="P34" s="57">
        <v>62.346302236488697</v>
      </c>
      <c r="Q34" s="57">
        <v>64.709747497216696</v>
      </c>
      <c r="R34" s="57">
        <v>68.389901186530196</v>
      </c>
      <c r="S34" s="57">
        <v>68.769046345212701</v>
      </c>
      <c r="T34" s="57">
        <v>58.549860871824897</v>
      </c>
    </row>
    <row r="35" spans="1:20" s="50" customFormat="1" x14ac:dyDescent="0.25">
      <c r="A35" s="51" t="s">
        <v>212</v>
      </c>
      <c r="B35" s="57"/>
      <c r="C35" s="57"/>
      <c r="D35" s="57"/>
      <c r="E35" s="57"/>
      <c r="F35" s="58">
        <v>0</v>
      </c>
      <c r="G35" s="58">
        <v>0</v>
      </c>
      <c r="H35" s="58">
        <v>0</v>
      </c>
      <c r="I35" s="57"/>
      <c r="J35" s="58">
        <v>0.26997988865813399</v>
      </c>
      <c r="K35" s="58">
        <v>0.85710231038250695</v>
      </c>
      <c r="L35" s="58">
        <v>1.77537067382539</v>
      </c>
      <c r="M35" s="57">
        <v>1.97978289695328</v>
      </c>
      <c r="N35" s="57">
        <v>3.9636684023276199</v>
      </c>
      <c r="O35" s="58">
        <v>7.1209441434493499</v>
      </c>
      <c r="P35" s="58">
        <v>12.2582786631391</v>
      </c>
      <c r="Q35" s="58">
        <v>16.4139620627084</v>
      </c>
      <c r="R35" s="57">
        <v>33.0978110483411</v>
      </c>
      <c r="S35" s="57">
        <v>36.7310442374445</v>
      </c>
      <c r="T35" s="57">
        <v>32.443612958735599</v>
      </c>
    </row>
    <row r="36" spans="1:20" s="50" customFormat="1" x14ac:dyDescent="0.25">
      <c r="A36" s="51" t="s">
        <v>213</v>
      </c>
      <c r="B36" s="57"/>
      <c r="C36" s="57"/>
      <c r="D36" s="57"/>
      <c r="E36" s="57"/>
      <c r="F36" s="57"/>
      <c r="G36" s="58">
        <v>0.57008134148612899</v>
      </c>
      <c r="H36" s="57"/>
      <c r="I36" s="57">
        <v>6.4402007654626701</v>
      </c>
      <c r="J36" s="57">
        <v>9.6834216717253305</v>
      </c>
      <c r="K36" s="57">
        <v>11.243744954024701</v>
      </c>
      <c r="L36" s="57">
        <v>20.165003042556702</v>
      </c>
      <c r="M36" s="57">
        <v>22.143685368216001</v>
      </c>
      <c r="N36" s="57">
        <v>18.933646955458599</v>
      </c>
      <c r="O36" s="57">
        <v>29.319588186236398</v>
      </c>
      <c r="P36" s="57">
        <v>34.443326834033499</v>
      </c>
      <c r="Q36" s="57">
        <v>40.160166222779502</v>
      </c>
      <c r="R36" s="57">
        <v>35.712322329191203</v>
      </c>
      <c r="S36" s="57">
        <v>40.510238417326399</v>
      </c>
      <c r="T36" s="57">
        <v>41.581516335064002</v>
      </c>
    </row>
    <row r="37" spans="1:20" s="50" customFormat="1" x14ac:dyDescent="0.25">
      <c r="A37" s="51" t="s">
        <v>214</v>
      </c>
      <c r="B37" s="57"/>
      <c r="C37" s="57"/>
      <c r="D37" s="57"/>
      <c r="E37" s="57"/>
      <c r="F37" s="57"/>
      <c r="G37" s="58">
        <v>2.1322885377957301E-2</v>
      </c>
      <c r="H37" s="57">
        <v>1.06737138151682</v>
      </c>
      <c r="I37" s="57">
        <v>3.3767160013743398</v>
      </c>
      <c r="J37" s="57">
        <v>6.1906513277335797</v>
      </c>
      <c r="K37" s="57">
        <v>11.836971085259499</v>
      </c>
      <c r="L37" s="57">
        <v>27.6298532769096</v>
      </c>
      <c r="M37" s="57">
        <v>28.9171833337906</v>
      </c>
      <c r="N37" s="57">
        <v>35.031076719832598</v>
      </c>
      <c r="O37" s="57">
        <v>38.430017114034897</v>
      </c>
      <c r="P37" s="57">
        <v>41.810026108900303</v>
      </c>
      <c r="Q37" s="57">
        <v>42.466655599637399</v>
      </c>
      <c r="R37" s="57">
        <v>47.4168380098927</v>
      </c>
      <c r="S37" s="57">
        <v>60.650588270628703</v>
      </c>
      <c r="T37" s="57">
        <v>66.485028346828798</v>
      </c>
    </row>
    <row r="38" spans="1:20" s="50" customFormat="1" x14ac:dyDescent="0.25">
      <c r="A38" s="51" t="s">
        <v>215</v>
      </c>
      <c r="B38" s="57"/>
      <c r="C38" s="57"/>
      <c r="D38" s="57"/>
      <c r="E38" s="57"/>
      <c r="F38" s="58">
        <v>0</v>
      </c>
      <c r="G38" s="57">
        <v>1.6501468630708099E-2</v>
      </c>
      <c r="H38" s="57">
        <v>1.6159526849053901E-2</v>
      </c>
      <c r="I38" s="57">
        <v>1.88187226495072</v>
      </c>
      <c r="J38" s="57">
        <v>7.1364963654813902</v>
      </c>
      <c r="K38" s="57">
        <v>12.2703502111635</v>
      </c>
      <c r="L38" s="57">
        <v>17.873494066133802</v>
      </c>
      <c r="M38" s="57">
        <v>24.981221371797201</v>
      </c>
      <c r="N38" s="57">
        <v>33.818910953278298</v>
      </c>
      <c r="O38" s="57">
        <v>33.678581453657898</v>
      </c>
      <c r="P38" s="57">
        <v>34.611419359676098</v>
      </c>
      <c r="Q38" s="57">
        <v>36.048474256674403</v>
      </c>
      <c r="R38" s="57">
        <v>40.048476984695498</v>
      </c>
      <c r="S38" s="57">
        <v>40.769757627979899</v>
      </c>
      <c r="T38" s="57">
        <v>41.971923714974999</v>
      </c>
    </row>
    <row r="39" spans="1:20" s="50" customFormat="1" x14ac:dyDescent="0.25">
      <c r="A39" s="51" t="s">
        <v>216</v>
      </c>
      <c r="B39" s="57"/>
      <c r="C39" s="57"/>
      <c r="D39" s="57"/>
      <c r="E39" s="57"/>
      <c r="F39" s="57"/>
      <c r="G39" s="57">
        <v>0.19105034398163301</v>
      </c>
      <c r="H39" s="57">
        <v>1.54172843568399</v>
      </c>
      <c r="I39" s="57">
        <v>3.6937394138985802</v>
      </c>
      <c r="J39" s="57">
        <v>14.534198429287599</v>
      </c>
      <c r="K39" s="57">
        <v>24.400636739333802</v>
      </c>
      <c r="L39" s="57">
        <v>27.093320914875399</v>
      </c>
      <c r="M39" s="57">
        <v>26.697225671506299</v>
      </c>
      <c r="N39" s="57">
        <v>27.576610329355699</v>
      </c>
      <c r="O39" s="57">
        <v>41.9644465065753</v>
      </c>
      <c r="P39" s="57">
        <v>54.058045406197103</v>
      </c>
      <c r="Q39" s="57">
        <v>66.523713818969199</v>
      </c>
      <c r="R39" s="57">
        <v>92.206879014860306</v>
      </c>
      <c r="S39" s="57">
        <v>96.190357055873505</v>
      </c>
      <c r="T39" s="57">
        <v>107.849980746862</v>
      </c>
    </row>
    <row r="40" spans="1:20" s="50" customFormat="1" x14ac:dyDescent="0.25">
      <c r="A40" s="51" t="s">
        <v>217</v>
      </c>
      <c r="B40" s="57"/>
      <c r="C40" s="57"/>
      <c r="D40" s="57">
        <v>7.7622775178204401E-2</v>
      </c>
      <c r="E40" s="57">
        <v>0.23339492366041001</v>
      </c>
      <c r="F40" s="57">
        <v>0.99115649164779795</v>
      </c>
      <c r="G40" s="57">
        <v>1.4951932695243799</v>
      </c>
      <c r="H40" s="57">
        <v>4.2144211741424797</v>
      </c>
      <c r="I40" s="57">
        <v>7.5957124056940204</v>
      </c>
      <c r="J40" s="57">
        <v>9.0133505725172096</v>
      </c>
      <c r="K40" s="57">
        <v>11.292449404705</v>
      </c>
      <c r="L40" s="57">
        <v>16.735055488202899</v>
      </c>
      <c r="M40" s="57">
        <v>19.422514819570001</v>
      </c>
      <c r="N40" s="57">
        <v>64.007756143986796</v>
      </c>
      <c r="O40" s="57">
        <v>67.957232267037597</v>
      </c>
      <c r="P40" s="57">
        <v>76.409689757756098</v>
      </c>
      <c r="Q40" s="57">
        <v>69.858925439143405</v>
      </c>
      <c r="R40" s="57">
        <v>76.817875059965701</v>
      </c>
      <c r="S40" s="57">
        <v>84.669619668265298</v>
      </c>
      <c r="T40" s="57">
        <v>80.319028378051001</v>
      </c>
    </row>
    <row r="41" spans="1:20" s="50" customFormat="1" x14ac:dyDescent="0.25">
      <c r="A41" s="51" t="s">
        <v>218</v>
      </c>
      <c r="B41" s="57"/>
      <c r="C41" s="57"/>
      <c r="D41" s="57"/>
      <c r="E41" s="57"/>
      <c r="F41" s="57"/>
      <c r="G41" s="58">
        <v>0</v>
      </c>
      <c r="H41" s="57"/>
      <c r="I41" s="57"/>
      <c r="J41" s="57"/>
      <c r="K41" s="58">
        <v>11.760539876693899</v>
      </c>
      <c r="L41" s="58">
        <v>13.6656315207267</v>
      </c>
      <c r="M41" s="58">
        <v>20.915422587285398</v>
      </c>
      <c r="N41" s="57">
        <v>26.2084515073857</v>
      </c>
      <c r="O41" s="57">
        <v>12.5487073176834</v>
      </c>
      <c r="P41" s="57">
        <v>14.900288942395299</v>
      </c>
      <c r="Q41" s="57">
        <v>20.042873619378199</v>
      </c>
      <c r="R41" s="57">
        <v>22.077391822352698</v>
      </c>
      <c r="S41" s="58">
        <v>25.753723627964298</v>
      </c>
      <c r="T41" s="58">
        <v>27.344623538756199</v>
      </c>
    </row>
    <row r="42" spans="1:20" s="50" customFormat="1" x14ac:dyDescent="0.25">
      <c r="A42" s="51" t="s">
        <v>219</v>
      </c>
      <c r="B42" s="57"/>
      <c r="C42" s="57"/>
      <c r="D42" s="57"/>
      <c r="E42" s="57"/>
      <c r="F42" s="57"/>
      <c r="G42" s="58">
        <v>16.620799945346199</v>
      </c>
      <c r="H42" s="58">
        <v>18.869631695924198</v>
      </c>
      <c r="I42" s="58">
        <v>24.543268825379801</v>
      </c>
      <c r="J42" s="57">
        <v>56.501168798702999</v>
      </c>
      <c r="K42" s="57">
        <v>44.637221534848301</v>
      </c>
      <c r="L42" s="57">
        <v>56.078073904312397</v>
      </c>
      <c r="M42" s="57">
        <v>59.493735813611202</v>
      </c>
      <c r="N42" s="57">
        <v>68.853872571747104</v>
      </c>
      <c r="O42" s="57">
        <v>76.400701612258302</v>
      </c>
      <c r="P42" s="57">
        <v>100.454117477068</v>
      </c>
      <c r="Q42" s="57">
        <v>108.363711789997</v>
      </c>
      <c r="R42" s="57">
        <v>111.706081773482</v>
      </c>
      <c r="S42" s="57">
        <v>129.684398816834</v>
      </c>
      <c r="T42" s="57">
        <v>130.83281117826499</v>
      </c>
    </row>
    <row r="43" spans="1:20" s="50" customFormat="1" x14ac:dyDescent="0.25">
      <c r="A43" s="51" t="s">
        <v>220</v>
      </c>
      <c r="B43" s="57"/>
      <c r="C43" s="57"/>
      <c r="D43" s="57"/>
      <c r="E43" s="57"/>
      <c r="F43" s="57"/>
      <c r="G43" s="58">
        <v>0</v>
      </c>
      <c r="H43" s="58">
        <v>0.61332942720571904</v>
      </c>
      <c r="I43" s="58">
        <v>1.0040683361472</v>
      </c>
      <c r="J43" s="57">
        <v>1.0298868691663099</v>
      </c>
      <c r="K43" s="57">
        <v>1.3351048097328799</v>
      </c>
      <c r="L43" s="57">
        <v>1.29561296129726</v>
      </c>
      <c r="M43" s="57">
        <v>1.2942999059473299</v>
      </c>
      <c r="N43" s="57">
        <v>4.64464223853156</v>
      </c>
      <c r="O43" s="57">
        <v>6.5015163029610799</v>
      </c>
      <c r="P43" s="57">
        <v>6.3141682202248299</v>
      </c>
      <c r="Q43" s="57">
        <v>5.1409234612772101</v>
      </c>
      <c r="R43" s="57">
        <v>6.2121633237558704</v>
      </c>
      <c r="S43" s="57">
        <v>6.8998710391821101</v>
      </c>
      <c r="T43" s="57">
        <v>6.6221565195037604</v>
      </c>
    </row>
    <row r="44" spans="1:20" s="50" customFormat="1" x14ac:dyDescent="0.25">
      <c r="A44" s="51" t="s">
        <v>221</v>
      </c>
      <c r="B44" s="57"/>
      <c r="C44" s="57"/>
      <c r="D44" s="57"/>
      <c r="E44" s="57">
        <v>0.54568481892064402</v>
      </c>
      <c r="F44" s="57">
        <v>0.85563357476748303</v>
      </c>
      <c r="G44" s="57">
        <v>1.03335483540016</v>
      </c>
      <c r="H44" s="58">
        <v>1.2382942394145899</v>
      </c>
      <c r="I44" s="57">
        <v>2.30545237012673</v>
      </c>
      <c r="J44" s="57">
        <v>2.7230737228937301</v>
      </c>
      <c r="K44" s="58">
        <v>3.0656477604883001</v>
      </c>
      <c r="L44" s="58">
        <v>9.0348194637384793</v>
      </c>
      <c r="M44" s="57">
        <v>9.2256796237025291</v>
      </c>
      <c r="N44" s="57">
        <v>8.9225033956008399</v>
      </c>
      <c r="O44" s="57">
        <v>8.9224438296854807</v>
      </c>
      <c r="P44" s="57">
        <v>9.5981030197419397</v>
      </c>
      <c r="Q44" s="57">
        <v>14.0175410680678</v>
      </c>
      <c r="R44" s="57">
        <v>18.506848244127401</v>
      </c>
      <c r="S44" s="57">
        <v>28.9027966003306</v>
      </c>
      <c r="T44" s="57">
        <v>32.320817712963098</v>
      </c>
    </row>
    <row r="45" spans="1:20" s="50" customFormat="1" x14ac:dyDescent="0.25">
      <c r="A45" s="51" t="s">
        <v>222</v>
      </c>
      <c r="B45" s="57"/>
      <c r="C45" s="57"/>
      <c r="D45" s="57"/>
      <c r="E45" s="57">
        <v>0</v>
      </c>
      <c r="F45" s="57">
        <v>0</v>
      </c>
      <c r="G45" s="57">
        <v>2.9780515373726901E-2</v>
      </c>
      <c r="H45" s="57">
        <v>0.44438828223745203</v>
      </c>
      <c r="I45" s="57">
        <v>1.2075086300913001</v>
      </c>
      <c r="J45" s="58">
        <v>1.3726003171804799</v>
      </c>
      <c r="K45" s="57">
        <v>2.8163186103620599</v>
      </c>
      <c r="L45" s="57">
        <v>5.6356258714544003</v>
      </c>
      <c r="M45" s="57">
        <v>18.291831720620099</v>
      </c>
      <c r="N45" s="57">
        <v>25.019523056568499</v>
      </c>
      <c r="O45" s="57">
        <v>30.5648365896262</v>
      </c>
      <c r="P45" s="57">
        <v>24.226486186806</v>
      </c>
      <c r="Q45" s="57">
        <v>35.519163248640098</v>
      </c>
      <c r="R45" s="57">
        <v>33.358431758770401</v>
      </c>
      <c r="S45" s="57">
        <v>36.991418234496997</v>
      </c>
      <c r="T45" s="57">
        <v>43.010114530460399</v>
      </c>
    </row>
    <row r="46" spans="1:20" s="50" customFormat="1" x14ac:dyDescent="0.25">
      <c r="A46" s="51" t="s">
        <v>223</v>
      </c>
      <c r="B46" s="57"/>
      <c r="C46" s="57"/>
      <c r="D46" s="57"/>
      <c r="E46" s="57"/>
      <c r="F46" s="57">
        <v>1.22484547544858</v>
      </c>
      <c r="G46" s="57">
        <v>1.67022724537664</v>
      </c>
      <c r="H46" s="57">
        <v>2.93063526608654</v>
      </c>
      <c r="I46" s="57">
        <v>7.8418925721831698</v>
      </c>
      <c r="J46" s="57">
        <v>10.259939131294599</v>
      </c>
      <c r="K46" s="57">
        <v>15.6473297455493</v>
      </c>
      <c r="L46" s="57">
        <v>19.582352355941701</v>
      </c>
      <c r="M46" s="57">
        <v>21.0842262738113</v>
      </c>
      <c r="N46" s="57">
        <v>24.961421085910299</v>
      </c>
      <c r="O46" s="57">
        <v>34.549644875378497</v>
      </c>
      <c r="P46" s="57">
        <v>39.469075052889401</v>
      </c>
      <c r="Q46" s="57">
        <v>45.250386259560699</v>
      </c>
      <c r="R46" s="57">
        <v>52.088594153941102</v>
      </c>
      <c r="S46" s="57">
        <v>54.278131848647298</v>
      </c>
      <c r="T46" s="57">
        <v>32.774675321031999</v>
      </c>
    </row>
    <row r="47" spans="1:20" s="50" customFormat="1" x14ac:dyDescent="0.25">
      <c r="A47" s="51" t="s">
        <v>224</v>
      </c>
      <c r="B47" s="57"/>
      <c r="C47" s="57"/>
      <c r="D47" s="57"/>
      <c r="E47" s="57"/>
      <c r="F47" s="57">
        <v>0</v>
      </c>
      <c r="G47" s="57">
        <v>0.246577410169593</v>
      </c>
      <c r="H47" s="57">
        <v>0.17785955695730801</v>
      </c>
      <c r="I47" s="57">
        <v>0.54415997608630295</v>
      </c>
      <c r="J47" s="57">
        <v>0.64284706335094399</v>
      </c>
      <c r="K47" s="57">
        <v>8.2716196564836899</v>
      </c>
      <c r="L47" s="57">
        <v>13.050694462357001</v>
      </c>
      <c r="M47" s="57">
        <v>30.485018613995901</v>
      </c>
      <c r="N47" s="57">
        <v>44.284807571903997</v>
      </c>
      <c r="O47" s="57">
        <v>54.667584384603899</v>
      </c>
      <c r="P47" s="57">
        <v>49.2707968347354</v>
      </c>
      <c r="Q47" s="57">
        <v>53.621723040002102</v>
      </c>
      <c r="R47" s="57">
        <v>52.834368695516098</v>
      </c>
      <c r="S47" s="57">
        <v>54.745744764361397</v>
      </c>
      <c r="T47" s="57">
        <v>60.040556910803502</v>
      </c>
    </row>
    <row r="48" spans="1:20" s="50" customFormat="1" x14ac:dyDescent="0.25">
      <c r="A48" s="51" t="s">
        <v>225</v>
      </c>
      <c r="B48" s="57"/>
      <c r="C48" s="57"/>
      <c r="D48" s="57"/>
      <c r="E48" s="57"/>
      <c r="F48" s="57">
        <v>0.152174690457658</v>
      </c>
      <c r="G48" s="57">
        <v>4.5595613477374499</v>
      </c>
      <c r="H48" s="57">
        <v>13.9752905095126</v>
      </c>
      <c r="I48" s="57">
        <v>27.9358269466236</v>
      </c>
      <c r="J48" s="57">
        <v>38.165450818221601</v>
      </c>
      <c r="K48" s="57">
        <v>40.312333910897898</v>
      </c>
      <c r="L48" s="57">
        <v>40.781204933977101</v>
      </c>
      <c r="M48" s="57">
        <v>46.044805673091197</v>
      </c>
      <c r="N48" s="57">
        <v>46.071326871485802</v>
      </c>
      <c r="O48" s="57">
        <v>49.620604728393197</v>
      </c>
      <c r="P48" s="57">
        <v>49.569069385270502</v>
      </c>
      <c r="Q48" s="57">
        <v>56.000841894396402</v>
      </c>
      <c r="R48" s="57">
        <v>59.067949340421499</v>
      </c>
      <c r="S48" s="57">
        <v>60.490970969296498</v>
      </c>
      <c r="T48" s="57">
        <v>67.143372591660295</v>
      </c>
    </row>
    <row r="49" spans="1:20" x14ac:dyDescent="0.25">
      <c r="A49" s="9" t="s">
        <v>34</v>
      </c>
      <c r="B49" s="11"/>
      <c r="C49" s="11"/>
      <c r="D49" s="11"/>
      <c r="E49" s="11"/>
      <c r="F49" s="11"/>
      <c r="G49" s="11"/>
      <c r="H49" s="11"/>
      <c r="I49" s="11"/>
      <c r="J49" s="11"/>
      <c r="K49" s="11"/>
      <c r="L49" s="11"/>
      <c r="M49" s="11"/>
      <c r="N49" s="11"/>
      <c r="O49" s="11"/>
      <c r="P49" s="11"/>
      <c r="Q49" s="11"/>
      <c r="R49" s="11"/>
      <c r="S49" s="11"/>
      <c r="T49" s="11"/>
    </row>
    <row r="50" spans="1:20" s="50" customFormat="1" x14ac:dyDescent="0.25">
      <c r="A50" s="51" t="s">
        <v>183</v>
      </c>
      <c r="B50" s="57"/>
      <c r="C50" s="57">
        <v>3.7261534051061702E-2</v>
      </c>
      <c r="D50" s="58">
        <v>5.6308037885780399E-2</v>
      </c>
      <c r="E50" s="58">
        <v>7.3878561940028203E-2</v>
      </c>
      <c r="F50" s="58">
        <v>6.6920151277017198E-2</v>
      </c>
      <c r="G50" s="58">
        <v>6.4391984056544796E-2</v>
      </c>
      <c r="H50" s="57">
        <v>6.5309976500465397E-2</v>
      </c>
      <c r="I50" s="57">
        <v>8.1469909077961006E-2</v>
      </c>
      <c r="J50" s="57">
        <v>8.5157546429245695E-2</v>
      </c>
      <c r="K50" s="57">
        <v>0.32307627225134899</v>
      </c>
      <c r="L50" s="57">
        <v>0.54539421015805301</v>
      </c>
      <c r="M50" s="57">
        <v>0.29031901030289098</v>
      </c>
      <c r="N50" s="57">
        <v>0.32055404693903</v>
      </c>
      <c r="O50" s="57">
        <v>0.35006696295557899</v>
      </c>
      <c r="P50" s="57">
        <v>0.36777042684448602</v>
      </c>
      <c r="Q50" s="57">
        <v>0.36326423871096503</v>
      </c>
      <c r="R50" s="57">
        <v>0.39092529517689001</v>
      </c>
      <c r="S50" s="57">
        <v>0.38669815590721102</v>
      </c>
      <c r="T50" s="57">
        <v>0.37366898299005202</v>
      </c>
    </row>
    <row r="51" spans="1:20" s="50" customFormat="1" x14ac:dyDescent="0.25">
      <c r="A51" s="51" t="s">
        <v>184</v>
      </c>
      <c r="B51" s="57">
        <v>2.3260936437829701E-3</v>
      </c>
      <c r="C51" s="57">
        <v>1.7231776131390299E-2</v>
      </c>
      <c r="D51" s="57">
        <v>7.9294444731716207E-3</v>
      </c>
      <c r="E51" s="57">
        <v>9.1282776574134902E-2</v>
      </c>
      <c r="F51" s="57">
        <v>0.20044328662212199</v>
      </c>
      <c r="G51" s="57">
        <v>0.27592798314342698</v>
      </c>
      <c r="H51" s="57">
        <v>0.37186845595481399</v>
      </c>
      <c r="I51" s="57">
        <v>0.40163856145668198</v>
      </c>
      <c r="J51" s="57">
        <v>0.39665382804514498</v>
      </c>
      <c r="K51" s="57">
        <v>0.41177682256506898</v>
      </c>
      <c r="L51" s="57">
        <v>0.64488211578161603</v>
      </c>
      <c r="M51" s="57">
        <v>0.190616354708843</v>
      </c>
      <c r="N51" s="57">
        <v>0.237670455772448</v>
      </c>
      <c r="O51" s="57">
        <v>0.218309314921079</v>
      </c>
      <c r="P51" s="57">
        <v>0.199854558369357</v>
      </c>
      <c r="Q51" s="57">
        <v>0.22938494521379199</v>
      </c>
      <c r="R51" s="57">
        <v>0.15416653340457501</v>
      </c>
      <c r="S51" s="57">
        <v>0.15307241156492499</v>
      </c>
      <c r="T51" s="57">
        <v>0.17088046134677301</v>
      </c>
    </row>
    <row r="52" spans="1:20" s="50" customFormat="1" x14ac:dyDescent="0.25">
      <c r="A52" s="51" t="s">
        <v>185</v>
      </c>
      <c r="B52" s="57">
        <v>8.6962334982175399E-2</v>
      </c>
      <c r="C52" s="57">
        <v>9.6024787198402101E-2</v>
      </c>
      <c r="D52" s="57">
        <v>0.18522384615746901</v>
      </c>
      <c r="E52" s="57">
        <v>0.45641727821453698</v>
      </c>
      <c r="F52" s="58">
        <v>0.50234267506516606</v>
      </c>
      <c r="G52" s="57">
        <v>0.58914638699018396</v>
      </c>
      <c r="H52" s="57">
        <v>0.92233793979846002</v>
      </c>
      <c r="I52" s="57">
        <v>1.05453005453337</v>
      </c>
      <c r="J52" s="57">
        <v>1.0085570860127799</v>
      </c>
      <c r="K52" s="57">
        <v>1.53265771779946</v>
      </c>
      <c r="L52" s="57">
        <v>1.6722848235329899</v>
      </c>
      <c r="M52" s="57">
        <v>2.6426362194689799</v>
      </c>
      <c r="N52" s="57">
        <v>1.43086105330679</v>
      </c>
      <c r="O52" s="57">
        <v>1.74169396309317</v>
      </c>
      <c r="P52" s="57">
        <v>2.1030126286242798</v>
      </c>
      <c r="Q52" s="57">
        <v>3.5860440070434301</v>
      </c>
      <c r="R52" s="57">
        <v>5.5483769953123998</v>
      </c>
      <c r="S52" s="57">
        <v>4.5319219047400496</v>
      </c>
      <c r="T52" s="57">
        <v>3.41002740052995</v>
      </c>
    </row>
    <row r="53" spans="1:20" s="50" customFormat="1" x14ac:dyDescent="0.25">
      <c r="A53" s="51" t="s">
        <v>186</v>
      </c>
      <c r="B53" s="57">
        <v>2.7562202831542598E-3</v>
      </c>
      <c r="C53" s="57">
        <v>1.19315079958149E-2</v>
      </c>
      <c r="D53" s="58">
        <v>4.5436423529831002E-2</v>
      </c>
      <c r="E53" s="58">
        <v>6.7282326828129804E-2</v>
      </c>
      <c r="F53" s="57">
        <v>7.6046784271943904E-2</v>
      </c>
      <c r="G53" s="57">
        <v>8.4721674617089598E-2</v>
      </c>
      <c r="H53" s="57">
        <v>8.4402098487160099E-2</v>
      </c>
      <c r="I53" s="57">
        <v>8.3436760636483698E-2</v>
      </c>
      <c r="J53" s="57">
        <v>7.3250638060979506E-2</v>
      </c>
      <c r="K53" s="57">
        <v>2.96662638571705E-2</v>
      </c>
      <c r="L53" s="57">
        <v>4.9814972578599001E-2</v>
      </c>
      <c r="M53" s="57">
        <v>6.4050127914063601E-2</v>
      </c>
      <c r="N53" s="57">
        <v>6.2133040708375997E-2</v>
      </c>
      <c r="O53" s="57">
        <v>6.7608402425878303E-2</v>
      </c>
      <c r="P53" s="57">
        <v>5.7318135257632498E-2</v>
      </c>
      <c r="Q53" s="57">
        <v>6.5083112610685306E-2</v>
      </c>
      <c r="R53" s="57">
        <v>7.4066015092445203E-2</v>
      </c>
      <c r="S53" s="58">
        <v>6.6906457752659201E-2</v>
      </c>
      <c r="T53" s="57"/>
    </row>
    <row r="54" spans="1:20" s="50" customFormat="1" x14ac:dyDescent="0.25">
      <c r="A54" s="51" t="s">
        <v>187</v>
      </c>
      <c r="B54" s="57"/>
      <c r="C54" s="57"/>
      <c r="D54" s="57"/>
      <c r="E54" s="57">
        <v>1.8811054363124099E-3</v>
      </c>
      <c r="F54" s="57">
        <v>1.7881798184684601E-3</v>
      </c>
      <c r="G54" s="57">
        <v>3.7540884369383501E-3</v>
      </c>
      <c r="H54" s="57">
        <v>5.11423261094026E-3</v>
      </c>
      <c r="I54" s="57">
        <v>6.9704900036024102E-3</v>
      </c>
      <c r="J54" s="57">
        <v>1.46944141397431E-2</v>
      </c>
      <c r="K54" s="58">
        <v>1.5741054104317798E-2</v>
      </c>
      <c r="L54" s="57">
        <v>2.5082416239574599E-2</v>
      </c>
      <c r="M54" s="57">
        <v>2.8871516945089201E-2</v>
      </c>
      <c r="N54" s="57">
        <v>3.4014781916928499E-2</v>
      </c>
      <c r="O54" s="57">
        <v>3.3180302014107599E-2</v>
      </c>
      <c r="P54" s="57">
        <v>3.1749435511192803E-2</v>
      </c>
      <c r="Q54" s="57">
        <v>3.3526099156727503E-2</v>
      </c>
      <c r="R54" s="57">
        <v>3.0488649052048299E-2</v>
      </c>
      <c r="S54" s="57">
        <v>3.0065091486084099E-2</v>
      </c>
      <c r="T54" s="57">
        <v>2.0344133621146201E-2</v>
      </c>
    </row>
    <row r="55" spans="1:20" s="50" customFormat="1" x14ac:dyDescent="0.25">
      <c r="A55" s="51" t="s">
        <v>189</v>
      </c>
      <c r="B55" s="57">
        <v>0.19315007781660001</v>
      </c>
      <c r="C55" s="57">
        <v>0.36965488009650999</v>
      </c>
      <c r="D55" s="57">
        <v>0.77248634595618604</v>
      </c>
      <c r="E55" s="57">
        <v>1.4720108505948899</v>
      </c>
      <c r="F55" s="57">
        <v>2.1677753827490802</v>
      </c>
      <c r="G55" s="57">
        <v>3.1525116519937901</v>
      </c>
      <c r="H55" s="57">
        <v>4.1709111599051303</v>
      </c>
      <c r="I55" s="57">
        <v>3.87787989178736</v>
      </c>
      <c r="J55" s="57">
        <v>4.1391966421006403</v>
      </c>
      <c r="K55" s="57">
        <v>3.7234104847304299</v>
      </c>
      <c r="L55" s="57">
        <v>3.2334492597493298</v>
      </c>
      <c r="M55" s="57">
        <v>3.0320707671777001</v>
      </c>
      <c r="N55" s="57">
        <v>2.9232218025982002</v>
      </c>
      <c r="O55" s="57">
        <v>3.0495797746462401</v>
      </c>
      <c r="P55" s="57">
        <v>3.9392807680936199</v>
      </c>
      <c r="Q55" s="57">
        <v>4.8261149182305898</v>
      </c>
      <c r="R55" s="57">
        <v>5.9096214257648798</v>
      </c>
      <c r="S55" s="57">
        <v>6.5676942938886897</v>
      </c>
      <c r="T55" s="57">
        <v>7.23008973237277</v>
      </c>
    </row>
    <row r="56" spans="1:20" s="50" customFormat="1" x14ac:dyDescent="0.25">
      <c r="A56" s="51" t="s">
        <v>188</v>
      </c>
      <c r="B56" s="57">
        <v>1.18304423519528E-3</v>
      </c>
      <c r="C56" s="57">
        <v>2.3988047684592199E-3</v>
      </c>
      <c r="D56" s="58">
        <v>3.5457268008635598E-3</v>
      </c>
      <c r="E56" s="58">
        <v>4.6301141764620501E-3</v>
      </c>
      <c r="F56" s="57">
        <v>4.7085969668055399E-3</v>
      </c>
      <c r="G56" s="57">
        <v>3.02724223113752E-2</v>
      </c>
      <c r="H56" s="57">
        <v>5.2949975445208797E-2</v>
      </c>
      <c r="I56" s="57">
        <v>6.6536825509121295E-2</v>
      </c>
      <c r="J56" s="57">
        <v>7.8963195488201895E-2</v>
      </c>
      <c r="K56" s="57">
        <v>7.6296834259350202E-2</v>
      </c>
      <c r="L56" s="58">
        <v>8.9823960500828207E-2</v>
      </c>
      <c r="M56" s="57">
        <v>1.55529332300567</v>
      </c>
      <c r="N56" s="57">
        <v>1.58466709279995</v>
      </c>
      <c r="O56" s="57">
        <v>1.59560948486525</v>
      </c>
      <c r="P56" s="57">
        <v>1.5718948745388099</v>
      </c>
      <c r="Q56" s="57">
        <v>2.7568241774936699</v>
      </c>
      <c r="R56" s="57">
        <v>2.2338512628921698</v>
      </c>
      <c r="S56" s="57">
        <v>2.1286247405299998</v>
      </c>
      <c r="T56" s="57"/>
    </row>
    <row r="57" spans="1:20" s="50" customFormat="1" x14ac:dyDescent="0.25">
      <c r="A57" s="51" t="s">
        <v>190</v>
      </c>
      <c r="B57" s="57"/>
      <c r="C57" s="57"/>
      <c r="D57" s="57"/>
      <c r="E57" s="57"/>
      <c r="F57" s="57"/>
      <c r="G57" s="57"/>
      <c r="H57" s="57">
        <v>1.7743620456510501E-2</v>
      </c>
      <c r="I57" s="57">
        <v>1.3121230628292201E-2</v>
      </c>
      <c r="J57" s="57"/>
      <c r="K57" s="57"/>
      <c r="L57" s="57">
        <v>4.0135484261187397E-2</v>
      </c>
      <c r="M57" s="57">
        <v>1.56141837038414E-2</v>
      </c>
      <c r="N57" s="57">
        <v>1.29132904879117E-2</v>
      </c>
      <c r="O57" s="57">
        <v>1.2462446119905501E-2</v>
      </c>
      <c r="P57" s="57">
        <v>1.00916071197805E-2</v>
      </c>
      <c r="Q57" s="57"/>
      <c r="R57" s="58">
        <v>9.7611549069853906E-3</v>
      </c>
      <c r="S57" s="58">
        <v>1.60846160651184E-2</v>
      </c>
      <c r="T57" s="57"/>
    </row>
    <row r="58" spans="1:20" s="50" customFormat="1" x14ac:dyDescent="0.25">
      <c r="A58" s="51" t="s">
        <v>191</v>
      </c>
      <c r="B58" s="57"/>
      <c r="C58" s="57"/>
      <c r="D58" s="57"/>
      <c r="E58" s="57"/>
      <c r="F58" s="57">
        <v>2.4971089867841601E-3</v>
      </c>
      <c r="G58" s="57">
        <v>2.6883084976132101E-3</v>
      </c>
      <c r="H58" s="57">
        <v>0.123865180054531</v>
      </c>
      <c r="I58" s="57">
        <v>0.147256096776337</v>
      </c>
      <c r="J58" s="57">
        <v>0.10728884114977399</v>
      </c>
      <c r="K58" s="57">
        <v>7.1402000947516003E-2</v>
      </c>
      <c r="L58" s="57">
        <v>7.7398234156932394E-2</v>
      </c>
      <c r="M58" s="57">
        <v>3.3914105217750602E-2</v>
      </c>
      <c r="N58" s="57">
        <v>2.1187038729842799E-3</v>
      </c>
      <c r="O58" s="57">
        <v>2.06727545659399E-3</v>
      </c>
      <c r="P58" s="57">
        <v>4.0754624616044999E-4</v>
      </c>
      <c r="Q58" s="57">
        <v>0</v>
      </c>
      <c r="R58" s="57">
        <v>0</v>
      </c>
      <c r="S58" s="57">
        <v>0</v>
      </c>
      <c r="T58" s="57">
        <v>0</v>
      </c>
    </row>
    <row r="59" spans="1:20" s="50" customFormat="1" x14ac:dyDescent="0.25">
      <c r="A59" s="51" t="s">
        <v>192</v>
      </c>
      <c r="B59" s="57"/>
      <c r="C59" s="57"/>
      <c r="D59" s="57"/>
      <c r="E59" s="57"/>
      <c r="F59" s="57">
        <v>2.9197291705937E-3</v>
      </c>
      <c r="G59" s="57">
        <v>5.6025045436311803E-3</v>
      </c>
      <c r="H59" s="57">
        <v>2.8439880565517599E-2</v>
      </c>
      <c r="I59" s="57">
        <v>2.9364300857513501E-2</v>
      </c>
      <c r="J59" s="57">
        <v>9.0177284836071899E-3</v>
      </c>
      <c r="K59" s="58">
        <v>1.00484738377935E-2</v>
      </c>
      <c r="L59" s="57"/>
      <c r="M59" s="57"/>
      <c r="N59" s="57"/>
      <c r="O59" s="57"/>
      <c r="P59" s="57"/>
      <c r="Q59" s="57"/>
      <c r="R59" s="57">
        <v>0.25689969235510801</v>
      </c>
      <c r="S59" s="57">
        <v>0.43588312645482202</v>
      </c>
      <c r="T59" s="57">
        <v>1.2679841206815301</v>
      </c>
    </row>
    <row r="60" spans="1:20" s="50" customFormat="1" x14ac:dyDescent="0.25">
      <c r="A60" s="51" t="s">
        <v>193</v>
      </c>
      <c r="B60" s="58">
        <v>6.1738674690402203E-3</v>
      </c>
      <c r="C60" s="57">
        <v>4.86693744359828E-2</v>
      </c>
      <c r="D60" s="57">
        <v>4.75498557860424E-2</v>
      </c>
      <c r="E60" s="57">
        <v>4.6480412526675702E-2</v>
      </c>
      <c r="F60" s="58">
        <v>4.5458802051464797E-2</v>
      </c>
      <c r="G60" s="57"/>
      <c r="H60" s="57"/>
      <c r="I60" s="57">
        <v>0.19673092661983699</v>
      </c>
      <c r="J60" s="57">
        <v>0.23509410593875699</v>
      </c>
      <c r="K60" s="57">
        <v>0.51720535344254903</v>
      </c>
      <c r="L60" s="57">
        <v>0.434546121572781</v>
      </c>
      <c r="M60" s="57">
        <v>0.52475229809993695</v>
      </c>
      <c r="N60" s="57">
        <v>0.53425733199687597</v>
      </c>
      <c r="O60" s="57">
        <v>0.64053630888503399</v>
      </c>
      <c r="P60" s="57">
        <v>0.76871184625947497</v>
      </c>
      <c r="Q60" s="57">
        <v>0.90391126210767103</v>
      </c>
      <c r="R60" s="57">
        <v>1.1303778144312799</v>
      </c>
      <c r="S60" s="57">
        <v>1.2517913306931201</v>
      </c>
      <c r="T60" s="57">
        <v>1.36336622359986</v>
      </c>
    </row>
    <row r="61" spans="1:20" s="50" customFormat="1" x14ac:dyDescent="0.25">
      <c r="A61" s="51" t="s">
        <v>249</v>
      </c>
      <c r="B61" s="57"/>
      <c r="C61" s="57"/>
      <c r="D61" s="57"/>
      <c r="E61" s="57"/>
      <c r="F61" s="57"/>
      <c r="G61" s="58">
        <v>0</v>
      </c>
      <c r="H61" s="57"/>
      <c r="I61" s="57"/>
      <c r="J61" s="58">
        <v>5.9375061642859099E-4</v>
      </c>
      <c r="K61" s="58">
        <v>6.37728730656316E-4</v>
      </c>
      <c r="L61" s="58">
        <v>1.23402659013859E-3</v>
      </c>
      <c r="M61" s="57">
        <v>1.1910942123957999E-3</v>
      </c>
      <c r="N61" s="57">
        <v>1.14832450612458E-3</v>
      </c>
      <c r="O61" s="57">
        <v>5.1306172985491998E-3</v>
      </c>
      <c r="P61" s="57">
        <v>1.2802934372309E-2</v>
      </c>
      <c r="Q61" s="57">
        <v>3.2295031405251202E-2</v>
      </c>
      <c r="R61" s="57">
        <v>3.1266095735655502E-2</v>
      </c>
      <c r="S61" s="57">
        <v>3.2227516736628402E-2</v>
      </c>
      <c r="T61" s="57">
        <v>2.1993628096095601E-2</v>
      </c>
    </row>
    <row r="62" spans="1:20" s="50" customFormat="1" x14ac:dyDescent="0.25">
      <c r="A62" s="51" t="s">
        <v>194</v>
      </c>
      <c r="B62" s="57">
        <v>1.9000028500042801E-2</v>
      </c>
      <c r="C62" s="58">
        <v>1.81755210063584E-2</v>
      </c>
      <c r="D62" s="58">
        <v>1.7373779491990701E-2</v>
      </c>
      <c r="E62" s="58">
        <v>1.6597051257226599E-2</v>
      </c>
      <c r="F62" s="58">
        <v>1.5849632772813999E-2</v>
      </c>
      <c r="G62" s="57">
        <v>9.9740556814693598E-2</v>
      </c>
      <c r="H62" s="57">
        <v>0.10838799035298601</v>
      </c>
      <c r="I62" s="57">
        <v>0.114419748848651</v>
      </c>
      <c r="J62" s="57">
        <v>0.26132468886911298</v>
      </c>
      <c r="K62" s="57">
        <v>0.27724834765414003</v>
      </c>
      <c r="L62" s="57">
        <v>0.26129306710190298</v>
      </c>
      <c r="M62" s="57">
        <v>0.22424289842234299</v>
      </c>
      <c r="N62" s="57">
        <v>0.121416081454382</v>
      </c>
      <c r="O62" s="57">
        <v>0.100221353087251</v>
      </c>
      <c r="P62" s="58">
        <v>5.9873893605288497E-2</v>
      </c>
      <c r="Q62" s="57">
        <v>0.107371649223871</v>
      </c>
      <c r="R62" s="57">
        <v>9.7681014063109403E-2</v>
      </c>
      <c r="S62" s="57">
        <v>0.10069058437688</v>
      </c>
      <c r="T62" s="57"/>
    </row>
    <row r="63" spans="1:20" s="50" customFormat="1" x14ac:dyDescent="0.25">
      <c r="A63" s="51" t="s">
        <v>195</v>
      </c>
      <c r="B63" s="57"/>
      <c r="C63" s="57"/>
      <c r="D63" s="57"/>
      <c r="E63" s="57">
        <v>1.56231858019328E-3</v>
      </c>
      <c r="F63" s="57">
        <v>2.4239192350110901E-3</v>
      </c>
      <c r="G63" s="57">
        <v>4.0065381269638002E-3</v>
      </c>
      <c r="H63" s="57">
        <v>4.7023746992231096E-3</v>
      </c>
      <c r="I63" s="57">
        <v>6.09156177107055E-3</v>
      </c>
      <c r="J63" s="57">
        <v>4.7489558802482502E-3</v>
      </c>
      <c r="K63" s="58">
        <v>6.4616743555206803E-3</v>
      </c>
      <c r="L63" s="58">
        <v>1.6100228430041E-2</v>
      </c>
      <c r="M63" s="58">
        <v>1.9201855667331701E-2</v>
      </c>
      <c r="N63" s="58">
        <v>3.1742535028680997E-2</v>
      </c>
      <c r="O63" s="57"/>
      <c r="P63" s="58">
        <v>9.2587048800164398E-2</v>
      </c>
      <c r="Q63" s="58">
        <v>0.151916994984612</v>
      </c>
      <c r="R63" s="58">
        <v>0.149245578525113</v>
      </c>
      <c r="S63" s="58">
        <v>0.16539339077568899</v>
      </c>
      <c r="T63" s="57"/>
    </row>
    <row r="64" spans="1:20" s="50" customFormat="1" x14ac:dyDescent="0.25">
      <c r="A64" s="51" t="s">
        <v>196</v>
      </c>
      <c r="B64" s="57"/>
      <c r="C64" s="57"/>
      <c r="D64" s="57"/>
      <c r="E64" s="57">
        <v>7.0303827278431402E-2</v>
      </c>
      <c r="F64" s="57">
        <v>0.136089754088348</v>
      </c>
      <c r="G64" s="57">
        <v>0.32906040570323403</v>
      </c>
      <c r="H64" s="57">
        <v>0.71781741995450099</v>
      </c>
      <c r="I64" s="57">
        <v>0.305108362852056</v>
      </c>
      <c r="J64" s="58">
        <v>0.37168470517438201</v>
      </c>
      <c r="K64" s="58">
        <v>0.44882552919610103</v>
      </c>
      <c r="L64" s="58">
        <v>0.52502027890827296</v>
      </c>
      <c r="M64" s="58">
        <v>0.60895670926753798</v>
      </c>
      <c r="N64" s="57">
        <v>1.3419156532362899</v>
      </c>
      <c r="O64" s="57">
        <v>1.8710289504324</v>
      </c>
      <c r="P64" s="57">
        <v>2.0436928010957098</v>
      </c>
      <c r="Q64" s="57">
        <v>2.2900424153349199</v>
      </c>
      <c r="R64" s="57">
        <v>2.5528077819115498</v>
      </c>
      <c r="S64" s="57">
        <v>2.18530055779024</v>
      </c>
      <c r="T64" s="57">
        <v>2.7636598277456601</v>
      </c>
    </row>
    <row r="65" spans="1:20" s="50" customFormat="1" x14ac:dyDescent="0.25">
      <c r="A65" s="51" t="s">
        <v>197</v>
      </c>
      <c r="B65" s="58">
        <v>7.7838419436023995E-5</v>
      </c>
      <c r="C65" s="57">
        <v>3.23406088138196E-4</v>
      </c>
      <c r="D65" s="57">
        <v>1.2466424735398599E-3</v>
      </c>
      <c r="E65" s="57">
        <v>1.74881441838571E-3</v>
      </c>
      <c r="F65" s="57">
        <v>3.9746551083362797E-3</v>
      </c>
      <c r="G65" s="57">
        <v>4.5361910843820597E-3</v>
      </c>
      <c r="H65" s="57">
        <v>6.82018469785873E-3</v>
      </c>
      <c r="I65" s="57">
        <v>8.9093004714768404E-3</v>
      </c>
      <c r="J65" s="57">
        <v>0.24184276779375199</v>
      </c>
      <c r="K65" s="57">
        <v>0.466085305720848</v>
      </c>
      <c r="L65" s="57">
        <v>0.46020331647734403</v>
      </c>
      <c r="M65" s="57">
        <v>0.52380962108399098</v>
      </c>
      <c r="N65" s="57">
        <v>5.7401312986417402E-2</v>
      </c>
      <c r="O65" s="57"/>
      <c r="P65" s="58">
        <v>0.13737998551427399</v>
      </c>
      <c r="Q65" s="57">
        <v>0.17827459806204901</v>
      </c>
      <c r="R65" s="57">
        <v>0.39938238028427198</v>
      </c>
      <c r="S65" s="57">
        <v>0.45157652011053001</v>
      </c>
      <c r="T65" s="57"/>
    </row>
    <row r="66" spans="1:20" s="50" customFormat="1" x14ac:dyDescent="0.25">
      <c r="A66" s="51" t="s">
        <v>198</v>
      </c>
      <c r="B66" s="57">
        <v>0.104544258777789</v>
      </c>
      <c r="C66" s="57">
        <v>0.116883693763396</v>
      </c>
      <c r="D66" s="58">
        <v>0.12742275116193699</v>
      </c>
      <c r="E66" s="58">
        <v>0.136886151165866</v>
      </c>
      <c r="F66" s="57">
        <v>0.222502280994441</v>
      </c>
      <c r="G66" s="57">
        <v>0.23734227814863701</v>
      </c>
      <c r="H66" s="58">
        <v>0.25252737817658399</v>
      </c>
      <c r="I66" s="58">
        <v>0.27072552817196899</v>
      </c>
      <c r="J66" s="57">
        <v>0.46522349807298202</v>
      </c>
      <c r="K66" s="58">
        <v>0.54589594919932705</v>
      </c>
      <c r="L66" s="57">
        <v>0.54297205913407698</v>
      </c>
      <c r="M66" s="57">
        <v>0.715038665794413</v>
      </c>
      <c r="N66" s="57">
        <v>0.68371273587092596</v>
      </c>
      <c r="O66" s="57">
        <v>0.95311795139758404</v>
      </c>
      <c r="P66" s="57">
        <v>1.0749629802099601</v>
      </c>
      <c r="Q66" s="57">
        <v>1.9206136043355999</v>
      </c>
      <c r="R66" s="57">
        <v>2.6514249457866801</v>
      </c>
      <c r="S66" s="57">
        <v>3.3054859267542001</v>
      </c>
      <c r="T66" s="57">
        <v>3.9729329130159501</v>
      </c>
    </row>
    <row r="67" spans="1:20" s="50" customFormat="1" x14ac:dyDescent="0.25">
      <c r="A67" s="51" t="s">
        <v>199</v>
      </c>
      <c r="B67" s="57">
        <v>4.2590536382815696E-3</v>
      </c>
      <c r="C67" s="57"/>
      <c r="D67" s="57">
        <v>1.52341126327605E-2</v>
      </c>
      <c r="E67" s="57">
        <v>1.65029936430468E-2</v>
      </c>
      <c r="F67" s="58">
        <v>1.6030590641768701E-2</v>
      </c>
      <c r="G67" s="57">
        <v>1.8166435693412801E-2</v>
      </c>
      <c r="H67" s="57">
        <v>2.2028607953285199E-2</v>
      </c>
      <c r="I67" s="58">
        <v>2.4472687012932301E-2</v>
      </c>
      <c r="J67" s="57">
        <v>2.08192716106891E-2</v>
      </c>
      <c r="K67" s="57">
        <v>0.12672508740935701</v>
      </c>
      <c r="L67" s="57">
        <v>0.160618270204614</v>
      </c>
      <c r="M67" s="57">
        <v>0.164202246374305</v>
      </c>
      <c r="N67" s="57">
        <v>0.17078041097452001</v>
      </c>
      <c r="O67" s="57">
        <v>0.184736659621142</v>
      </c>
      <c r="P67" s="58">
        <v>0.203513124968455</v>
      </c>
      <c r="Q67" s="58">
        <v>0.19874923133734801</v>
      </c>
      <c r="R67" s="58">
        <v>0.19409862539353501</v>
      </c>
      <c r="S67" s="58">
        <v>0.21581887903143199</v>
      </c>
      <c r="T67" s="57"/>
    </row>
    <row r="68" spans="1:20" s="50" customFormat="1" x14ac:dyDescent="0.25">
      <c r="A68" s="51" t="s">
        <v>200</v>
      </c>
      <c r="B68" s="57">
        <v>8.4812813576892205E-3</v>
      </c>
      <c r="C68" s="57">
        <v>5.5332515476307999E-2</v>
      </c>
      <c r="D68" s="57">
        <v>6.8508623893660997E-2</v>
      </c>
      <c r="E68" s="57">
        <v>9.4763097616794703E-2</v>
      </c>
      <c r="F68" s="57">
        <v>0.114231524023331</v>
      </c>
      <c r="G68" s="57">
        <v>0.20445538850939901</v>
      </c>
      <c r="H68" s="57">
        <v>0.24966001264299201</v>
      </c>
      <c r="I68" s="57">
        <v>0.25484894518151802</v>
      </c>
      <c r="J68" s="57">
        <v>0.25120322492432601</v>
      </c>
      <c r="K68" s="57">
        <v>0.250235435990938</v>
      </c>
      <c r="L68" s="57">
        <v>0.25485024638218701</v>
      </c>
      <c r="M68" s="57">
        <v>0.29497823702643799</v>
      </c>
      <c r="N68" s="57">
        <v>0.18931394904232299</v>
      </c>
      <c r="O68" s="57">
        <v>0.19997659737214901</v>
      </c>
      <c r="P68" s="57">
        <v>0.187204014722826</v>
      </c>
      <c r="Q68" s="57">
        <v>0.24577104058795601</v>
      </c>
      <c r="R68" s="57">
        <v>0.35223770717524799</v>
      </c>
      <c r="S68" s="57">
        <v>0.62494509663474995</v>
      </c>
      <c r="T68" s="57">
        <v>0.55547673052559599</v>
      </c>
    </row>
    <row r="69" spans="1:20" s="50" customFormat="1" x14ac:dyDescent="0.25">
      <c r="A69" s="51" t="s">
        <v>201</v>
      </c>
      <c r="B69" s="57"/>
      <c r="C69" s="57"/>
      <c r="D69" s="57"/>
      <c r="E69" s="57"/>
      <c r="F69" s="57"/>
      <c r="G69" s="57">
        <v>4.8095023454019104E-3</v>
      </c>
      <c r="H69" s="58">
        <v>5.6302026591447197E-3</v>
      </c>
      <c r="I69" s="58">
        <v>6.4093284662724197E-3</v>
      </c>
      <c r="J69" s="58">
        <v>7.1480439422427298E-3</v>
      </c>
      <c r="K69" s="58">
        <v>7.8445564530890306E-3</v>
      </c>
      <c r="L69" s="58">
        <v>8.4982922681687105E-3</v>
      </c>
      <c r="M69" s="57">
        <v>9.1112173166139707E-3</v>
      </c>
      <c r="N69" s="57">
        <v>9.0992332341783295E-3</v>
      </c>
      <c r="O69" s="57">
        <v>9.5475921098635806E-3</v>
      </c>
      <c r="P69" s="57">
        <v>9.5900477093365504E-3</v>
      </c>
      <c r="Q69" s="58">
        <v>7.47876982911684E-3</v>
      </c>
      <c r="R69" s="58">
        <v>7.2936731105539198E-3</v>
      </c>
      <c r="S69" s="58">
        <v>6.2752856838037196E-3</v>
      </c>
      <c r="T69" s="57"/>
    </row>
    <row r="70" spans="1:20" s="50" customFormat="1" x14ac:dyDescent="0.25">
      <c r="A70" s="51" t="s">
        <v>202</v>
      </c>
      <c r="B70" s="57"/>
      <c r="C70" s="57"/>
      <c r="D70" s="57"/>
      <c r="E70" s="57"/>
      <c r="F70" s="57"/>
      <c r="G70" s="58">
        <v>5.1074251107832397E-2</v>
      </c>
      <c r="H70" s="57">
        <v>6.2186115581601899E-2</v>
      </c>
      <c r="I70" s="57">
        <v>7.2846531191092204E-2</v>
      </c>
      <c r="J70" s="57">
        <v>8.56145705149787E-2</v>
      </c>
      <c r="K70" s="57">
        <v>8.0120749723454204E-2</v>
      </c>
      <c r="L70" s="57">
        <v>5.8831530789713898E-2</v>
      </c>
      <c r="M70" s="57">
        <v>4.83652702423122E-2</v>
      </c>
      <c r="N70" s="57">
        <v>4.5443115660986903E-2</v>
      </c>
      <c r="O70" s="57">
        <v>6.2637605037644997E-2</v>
      </c>
      <c r="P70" s="57">
        <v>6.2357193387596502E-2</v>
      </c>
      <c r="Q70" s="57">
        <v>0.118365532433795</v>
      </c>
      <c r="R70" s="57">
        <v>0.16043006720771499</v>
      </c>
      <c r="S70" s="57">
        <v>0.21918482243654699</v>
      </c>
      <c r="T70" s="57">
        <v>0.31044809943998602</v>
      </c>
    </row>
    <row r="71" spans="1:20" s="50" customFormat="1" x14ac:dyDescent="0.25">
      <c r="A71" s="51" t="s">
        <v>203</v>
      </c>
      <c r="B71" s="57">
        <v>1.50824868721744E-2</v>
      </c>
      <c r="C71" s="57">
        <v>4.80245939682215E-2</v>
      </c>
      <c r="D71" s="57">
        <v>4.6631710104458199E-2</v>
      </c>
      <c r="E71" s="57">
        <v>8.3710927344398892E-3</v>
      </c>
      <c r="F71" s="57">
        <v>4.5039592895533803E-2</v>
      </c>
      <c r="G71" s="57">
        <v>1.6505376254908E-2</v>
      </c>
      <c r="H71" s="57">
        <v>0.126627569687319</v>
      </c>
      <c r="I71" s="57">
        <v>0.123832539161972</v>
      </c>
      <c r="J71" s="57">
        <v>0.164812822501609</v>
      </c>
      <c r="K71" s="57">
        <v>0.221085377569084</v>
      </c>
      <c r="L71" s="57">
        <v>0.286921276745847</v>
      </c>
      <c r="M71" s="57">
        <v>0.27566028836041201</v>
      </c>
      <c r="N71" s="57">
        <v>0.58600831590605196</v>
      </c>
      <c r="O71" s="57">
        <v>0.73993110178604804</v>
      </c>
      <c r="P71" s="57">
        <v>0.95928882989214603</v>
      </c>
      <c r="Q71" s="57">
        <v>1.2911248973377301</v>
      </c>
      <c r="R71" s="57">
        <v>1.48254108303764</v>
      </c>
      <c r="S71" s="57">
        <v>1.47646942688922</v>
      </c>
      <c r="T71" s="57">
        <v>2.3888251112872401</v>
      </c>
    </row>
    <row r="72" spans="1:20" s="50" customFormat="1" x14ac:dyDescent="0.25">
      <c r="A72" s="51" t="s">
        <v>204</v>
      </c>
      <c r="B72" s="58">
        <v>2.3040578042021901E-3</v>
      </c>
      <c r="C72" s="57"/>
      <c r="D72" s="57">
        <v>5.6315876776765897E-3</v>
      </c>
      <c r="E72" s="57">
        <v>7.1190989661542798E-3</v>
      </c>
      <c r="F72" s="58">
        <v>2.0193014933239401E-2</v>
      </c>
      <c r="G72" s="58">
        <v>2.0037560406982902E-2</v>
      </c>
      <c r="H72" s="57">
        <v>6.64843106460795E-2</v>
      </c>
      <c r="I72" s="57">
        <v>8.0418648868387704E-2</v>
      </c>
      <c r="J72" s="57">
        <v>0.11062463287209801</v>
      </c>
      <c r="K72" s="57">
        <v>7.2208448773105394E-2</v>
      </c>
      <c r="L72" s="57">
        <v>9.7975350314143603E-2</v>
      </c>
      <c r="M72" s="57">
        <v>0.10467409743234</v>
      </c>
      <c r="N72" s="57">
        <v>0.22349347043034401</v>
      </c>
      <c r="O72" s="57">
        <v>0.26392160113353902</v>
      </c>
      <c r="P72" s="57">
        <v>0.20901554943525499</v>
      </c>
      <c r="Q72" s="57">
        <v>0.22632459150871301</v>
      </c>
      <c r="R72" s="57">
        <v>0.35365250789063402</v>
      </c>
      <c r="S72" s="57">
        <v>0.39753117741491001</v>
      </c>
      <c r="T72" s="57">
        <v>0.38373815473429901</v>
      </c>
    </row>
    <row r="73" spans="1:20" s="50" customFormat="1" x14ac:dyDescent="0.25">
      <c r="A73" s="51" t="s">
        <v>205</v>
      </c>
      <c r="B73" s="57"/>
      <c r="C73" s="57"/>
      <c r="D73" s="57"/>
      <c r="E73" s="57">
        <v>2.8788252717938199E-3</v>
      </c>
      <c r="F73" s="57">
        <v>3.8041829781578999E-3</v>
      </c>
      <c r="G73" s="57">
        <v>4.5825336483619897E-3</v>
      </c>
      <c r="H73" s="57">
        <v>1.49247437563637E-3</v>
      </c>
      <c r="I73" s="57">
        <v>1.1982502801824699E-2</v>
      </c>
      <c r="J73" s="57">
        <v>0.113640456360387</v>
      </c>
      <c r="K73" s="58">
        <v>0.13145518922645899</v>
      </c>
      <c r="L73" s="58">
        <v>0.150232936167528</v>
      </c>
      <c r="M73" s="58">
        <v>0.16822244390202101</v>
      </c>
      <c r="N73" s="58">
        <v>0.18560815026010899</v>
      </c>
      <c r="O73" s="57"/>
      <c r="P73" s="58">
        <v>0.21809295161250999</v>
      </c>
      <c r="Q73" s="58">
        <v>0.25245350825901702</v>
      </c>
      <c r="R73" s="58">
        <v>0.247180102838331</v>
      </c>
      <c r="S73" s="58">
        <v>0.27467322651617398</v>
      </c>
      <c r="T73" s="57"/>
    </row>
    <row r="74" spans="1:20" s="50" customFormat="1" x14ac:dyDescent="0.25">
      <c r="A74" s="51" t="s">
        <v>206</v>
      </c>
      <c r="B74" s="57"/>
      <c r="C74" s="57">
        <v>6.8978068876603699E-3</v>
      </c>
      <c r="D74" s="57">
        <v>1.15854535722299E-2</v>
      </c>
      <c r="E74" s="57">
        <v>1.66699802713078E-2</v>
      </c>
      <c r="F74" s="57">
        <v>2.1237019243264099E-2</v>
      </c>
      <c r="G74" s="57">
        <v>2.4302021246575101E-2</v>
      </c>
      <c r="H74" s="57">
        <v>3.0023266717201999E-2</v>
      </c>
      <c r="I74" s="57">
        <v>0.13245426583545999</v>
      </c>
      <c r="J74" s="57">
        <v>0.15756581798966299</v>
      </c>
      <c r="K74" s="57">
        <v>0.10028529723455699</v>
      </c>
      <c r="L74" s="57">
        <v>9.3185502390361094E-2</v>
      </c>
      <c r="M74" s="57">
        <v>0.101092139939568</v>
      </c>
      <c r="N74" s="57">
        <v>9.3555506819655895E-2</v>
      </c>
      <c r="O74" s="57">
        <v>9.8967351285106198E-2</v>
      </c>
      <c r="P74" s="57">
        <v>0.10630926342776401</v>
      </c>
      <c r="Q74" s="57">
        <v>0.11052183020282599</v>
      </c>
      <c r="R74" s="57">
        <v>0.10418279454474599</v>
      </c>
      <c r="S74" s="57">
        <v>0.10748996107107001</v>
      </c>
      <c r="T74" s="57">
        <v>0.12448738508597899</v>
      </c>
    </row>
    <row r="75" spans="1:20" s="50" customFormat="1" x14ac:dyDescent="0.25">
      <c r="A75" s="51" t="s">
        <v>207</v>
      </c>
      <c r="B75" s="57">
        <v>3.1464098490104901E-3</v>
      </c>
      <c r="C75" s="57"/>
      <c r="D75" s="57">
        <v>6.87961404628625E-3</v>
      </c>
      <c r="E75" s="57">
        <v>7.05474085382541E-3</v>
      </c>
      <c r="F75" s="57">
        <v>7.1826564825767103E-3</v>
      </c>
      <c r="G75" s="57">
        <v>7.3179962071871097E-3</v>
      </c>
      <c r="H75" s="57">
        <v>1.1333098635560399E-2</v>
      </c>
      <c r="I75" s="57">
        <v>7.8805431871271907E-3</v>
      </c>
      <c r="J75" s="57">
        <v>5.4307015993747203E-2</v>
      </c>
      <c r="K75" s="57">
        <v>5.150546237057E-2</v>
      </c>
      <c r="L75" s="57">
        <v>3.4268649944540999E-2</v>
      </c>
      <c r="M75" s="57">
        <v>4.9505235269757697E-2</v>
      </c>
      <c r="N75" s="57">
        <v>5.9956601309943097E-2</v>
      </c>
      <c r="O75" s="57">
        <v>6.1301545475756503E-2</v>
      </c>
      <c r="P75" s="57">
        <v>5.9698034537609898E-2</v>
      </c>
      <c r="Q75" s="57">
        <v>6.2737126372384197E-2</v>
      </c>
      <c r="R75" s="57">
        <v>6.7081493139859796E-2</v>
      </c>
      <c r="S75" s="57">
        <v>7.2406033080898297E-2</v>
      </c>
      <c r="T75" s="57">
        <v>7.9556560544816995E-2</v>
      </c>
    </row>
    <row r="76" spans="1:20" s="50" customFormat="1" x14ac:dyDescent="0.25">
      <c r="A76" s="51" t="s">
        <v>208</v>
      </c>
      <c r="B76" s="57"/>
      <c r="C76" s="57">
        <v>2.2051246238511301E-2</v>
      </c>
      <c r="D76" s="57">
        <v>2.2133419561447001E-2</v>
      </c>
      <c r="E76" s="57">
        <v>3.5285970975280898E-2</v>
      </c>
      <c r="F76" s="57">
        <v>5.3409213633550501E-2</v>
      </c>
      <c r="G76" s="57">
        <v>5.0291002971552902E-2</v>
      </c>
      <c r="H76" s="57">
        <v>5.15026702513302E-2</v>
      </c>
      <c r="I76" s="57">
        <v>2.5476154938189999E-2</v>
      </c>
      <c r="J76" s="57">
        <v>1.6661306678297301E-2</v>
      </c>
      <c r="K76" s="57"/>
      <c r="L76" s="57">
        <v>1.8818888075322001E-2</v>
      </c>
      <c r="M76" s="57">
        <v>0.111738195386459</v>
      </c>
      <c r="N76" s="57">
        <v>7.7726701913202398E-2</v>
      </c>
      <c r="O76" s="57">
        <v>0.59159486606760703</v>
      </c>
      <c r="P76" s="57">
        <v>0.67647266131441797</v>
      </c>
      <c r="Q76" s="57">
        <v>1.1228140435434799</v>
      </c>
      <c r="R76" s="57">
        <v>0.64833801800288804</v>
      </c>
      <c r="S76" s="57">
        <v>0.77422002857063599</v>
      </c>
      <c r="T76" s="57"/>
    </row>
    <row r="77" spans="1:20" s="50" customFormat="1" x14ac:dyDescent="0.25">
      <c r="A77" s="51" t="s">
        <v>209</v>
      </c>
      <c r="B77" s="57">
        <v>0.42936172412833101</v>
      </c>
      <c r="C77" s="57">
        <v>2.2072653410677998</v>
      </c>
      <c r="D77" s="57">
        <v>2.7673494979984499</v>
      </c>
      <c r="E77" s="57">
        <v>4.1196891659180901</v>
      </c>
      <c r="F77" s="57">
        <v>5.6979355294721099</v>
      </c>
      <c r="G77" s="57">
        <v>7.3221595856893504</v>
      </c>
      <c r="H77" s="57">
        <v>9.1921039721924007</v>
      </c>
      <c r="I77" s="57">
        <v>10.9217558584205</v>
      </c>
      <c r="J77" s="57">
        <v>12.5795517217874</v>
      </c>
      <c r="K77" s="57">
        <v>14.0866327916688</v>
      </c>
      <c r="L77" s="57">
        <v>15.2753864309067</v>
      </c>
      <c r="M77" s="57">
        <v>16.4576177636993</v>
      </c>
      <c r="N77" s="57">
        <v>19.060089644405402</v>
      </c>
      <c r="O77" s="57">
        <v>21.313855247343898</v>
      </c>
      <c r="P77" s="57">
        <v>23.883010565433398</v>
      </c>
      <c r="Q77" s="57">
        <v>25.186580976182601</v>
      </c>
      <c r="R77" s="57">
        <v>25.7028828022003</v>
      </c>
      <c r="S77" s="57">
        <v>26.196390649855399</v>
      </c>
      <c r="T77" s="57">
        <v>26.9082309192612</v>
      </c>
    </row>
    <row r="78" spans="1:20" s="50" customFormat="1" x14ac:dyDescent="0.25">
      <c r="A78" s="51" t="s">
        <v>210</v>
      </c>
      <c r="B78" s="57"/>
      <c r="C78" s="57">
        <v>1.0588304171719701E-2</v>
      </c>
      <c r="D78" s="57">
        <v>2.99093816668691E-2</v>
      </c>
      <c r="E78" s="57">
        <v>5.1033418708324202E-2</v>
      </c>
      <c r="F78" s="57">
        <v>6.1397626670007199E-2</v>
      </c>
      <c r="G78" s="57">
        <v>7.5319896509601303E-2</v>
      </c>
      <c r="H78" s="57">
        <v>0.119979505298291</v>
      </c>
      <c r="I78" s="57">
        <v>0.120955650717816</v>
      </c>
      <c r="J78" s="57">
        <v>0.115170237953958</v>
      </c>
      <c r="K78" s="57">
        <v>0.14341677823136101</v>
      </c>
      <c r="L78" s="57">
        <v>0.160353647407002</v>
      </c>
      <c r="M78" s="57">
        <v>0.170460624854022</v>
      </c>
      <c r="N78" s="57">
        <v>0.218845913283962</v>
      </c>
      <c r="O78" s="57">
        <v>0.241713568697421</v>
      </c>
      <c r="P78" s="57">
        <v>0.234152423439938</v>
      </c>
      <c r="Q78" s="57">
        <v>0.22739315705122801</v>
      </c>
      <c r="R78" s="57">
        <v>0.20655800780880401</v>
      </c>
      <c r="S78" s="57">
        <v>0.197784521833894</v>
      </c>
      <c r="T78" s="57"/>
    </row>
    <row r="79" spans="1:20" s="50" customFormat="1" x14ac:dyDescent="0.25">
      <c r="A79" s="51" t="s">
        <v>211</v>
      </c>
      <c r="B79" s="57">
        <v>6.8138526641655399E-3</v>
      </c>
      <c r="C79" s="57">
        <v>9.9403179295221404E-3</v>
      </c>
      <c r="D79" s="58">
        <v>1.26820568710988E-2</v>
      </c>
      <c r="E79" s="58">
        <v>1.5632205469708699E-2</v>
      </c>
      <c r="F79" s="58">
        <v>2.29614603681343E-2</v>
      </c>
      <c r="G79" s="57">
        <v>0.447196455037916</v>
      </c>
      <c r="H79" s="57">
        <v>0.82047220248564401</v>
      </c>
      <c r="I79" s="57">
        <v>1.0959814166606701</v>
      </c>
      <c r="J79" s="57">
        <v>1.58667582978618</v>
      </c>
      <c r="K79" s="57">
        <v>1.78241879056579</v>
      </c>
      <c r="L79" s="57">
        <v>2.9654213873562698</v>
      </c>
      <c r="M79" s="57">
        <v>2.6378590143624199</v>
      </c>
      <c r="N79" s="57">
        <v>2.6239671811630001</v>
      </c>
      <c r="O79" s="57">
        <v>2.43865058644091</v>
      </c>
      <c r="P79" s="57">
        <v>2.6017791400395498</v>
      </c>
      <c r="Q79" s="57">
        <v>2.88695019939445</v>
      </c>
      <c r="R79" s="57">
        <v>3.1781346555902998</v>
      </c>
      <c r="S79" s="57">
        <v>3.29190749644768</v>
      </c>
      <c r="T79" s="57">
        <v>3.52006938690795</v>
      </c>
    </row>
    <row r="80" spans="1:20" s="50" customFormat="1" x14ac:dyDescent="0.25">
      <c r="A80" s="51" t="s">
        <v>212</v>
      </c>
      <c r="B80" s="57">
        <v>1.5411241715730601E-3</v>
      </c>
      <c r="C80" s="58">
        <v>2.43191667062058E-3</v>
      </c>
      <c r="D80" s="58">
        <v>3.2559625658876499E-3</v>
      </c>
      <c r="E80" s="58">
        <v>4.0164263374716002E-3</v>
      </c>
      <c r="F80" s="58">
        <v>6.2720796805002602E-3</v>
      </c>
      <c r="G80" s="58">
        <v>9.0640821544235601E-3</v>
      </c>
      <c r="H80" s="57">
        <v>1.2307668661491E-2</v>
      </c>
      <c r="I80" s="57">
        <v>2.05698689039478E-2</v>
      </c>
      <c r="J80" s="58">
        <v>3.4557425748241201E-2</v>
      </c>
      <c r="K80" s="57">
        <v>0.15588125443350101</v>
      </c>
      <c r="L80" s="57">
        <v>0.13635247988690599</v>
      </c>
      <c r="M80" s="57">
        <v>3.7257526955871499E-2</v>
      </c>
      <c r="N80" s="57">
        <v>4.03537206550309E-2</v>
      </c>
      <c r="O80" s="57"/>
      <c r="P80" s="58">
        <v>4.7934968110390899E-2</v>
      </c>
      <c r="Q80" s="58">
        <v>5.0595310750706703E-2</v>
      </c>
      <c r="R80" s="57"/>
      <c r="S80" s="57"/>
      <c r="T80" s="57">
        <v>0.10761904867482699</v>
      </c>
    </row>
    <row r="81" spans="1:20" s="50" customFormat="1" x14ac:dyDescent="0.25">
      <c r="A81" s="51" t="s">
        <v>213</v>
      </c>
      <c r="B81" s="57">
        <v>3.4478656136177101E-4</v>
      </c>
      <c r="C81" s="57"/>
      <c r="D81" s="57">
        <v>3.4967676495504203E-2</v>
      </c>
      <c r="E81" s="57">
        <v>4.3006436739172503E-2</v>
      </c>
      <c r="F81" s="57">
        <v>5.0575915511821799E-2</v>
      </c>
      <c r="G81" s="58">
        <v>5.9473285886323397E-2</v>
      </c>
      <c r="H81" s="57"/>
      <c r="I81" s="57">
        <v>8.1038305057090504E-3</v>
      </c>
      <c r="J81" s="57">
        <v>8.3098847202749994E-3</v>
      </c>
      <c r="K81" s="57">
        <v>8.4670582080396493E-3</v>
      </c>
      <c r="L81" s="57">
        <v>8.2277471458061593E-3</v>
      </c>
      <c r="M81" s="57">
        <v>5.5223575894234503E-2</v>
      </c>
      <c r="N81" s="57">
        <v>5.5346549653678599E-2</v>
      </c>
      <c r="O81" s="57">
        <v>3.6091270291946503E-2</v>
      </c>
      <c r="P81" s="57">
        <v>3.9792703500857098E-2</v>
      </c>
      <c r="Q81" s="57">
        <v>3.05206381229766E-2</v>
      </c>
      <c r="R81" s="57">
        <v>3.0163920455036901E-2</v>
      </c>
      <c r="S81" s="57">
        <v>4.3381407708979101E-2</v>
      </c>
      <c r="T81" s="57">
        <v>5.1283785190682003E-2</v>
      </c>
    </row>
    <row r="82" spans="1:20" s="50" customFormat="1" x14ac:dyDescent="0.25">
      <c r="A82" s="51" t="s">
        <v>214</v>
      </c>
      <c r="B82" s="57">
        <v>1.3032153636280099E-2</v>
      </c>
      <c r="C82" s="57">
        <v>1.8324066273760299E-2</v>
      </c>
      <c r="D82" s="57">
        <v>2.6628459068770399E-2</v>
      </c>
      <c r="E82" s="57">
        <v>1.14235951706343E-2</v>
      </c>
      <c r="F82" s="57">
        <v>2.2007007253764099E-2</v>
      </c>
      <c r="G82" s="57">
        <v>3.8206733709049E-2</v>
      </c>
      <c r="H82" s="57">
        <v>8.1759204625272794E-2</v>
      </c>
      <c r="I82" s="57">
        <v>5.0766853732088599E-2</v>
      </c>
      <c r="J82" s="57">
        <v>2.5069095511360901E-2</v>
      </c>
      <c r="K82" s="57">
        <v>2.56670688163416E-2</v>
      </c>
      <c r="L82" s="57">
        <v>0.18148591128092401</v>
      </c>
      <c r="M82" s="57">
        <v>0.18223564484243601</v>
      </c>
      <c r="N82" s="57">
        <v>0.178494450936973</v>
      </c>
      <c r="O82" s="57">
        <v>6.0065682276003299E-2</v>
      </c>
      <c r="P82" s="57">
        <v>6.9543897697130305E-2</v>
      </c>
      <c r="Q82" s="57">
        <v>0.13535298197888099</v>
      </c>
      <c r="R82" s="57">
        <v>0.23887217470869199</v>
      </c>
      <c r="S82" s="57">
        <v>0.34995161537261299</v>
      </c>
      <c r="T82" s="57">
        <v>0.44555612319521098</v>
      </c>
    </row>
    <row r="83" spans="1:20" s="50" customFormat="1" x14ac:dyDescent="0.25">
      <c r="A83" s="51" t="s">
        <v>215</v>
      </c>
      <c r="B83" s="57"/>
      <c r="C83" s="57">
        <v>7.5465774761830001E-2</v>
      </c>
      <c r="D83" s="58">
        <v>0.18149675898644699</v>
      </c>
      <c r="E83" s="57">
        <v>0.19793662575592799</v>
      </c>
      <c r="F83" s="57">
        <v>0.249082107133419</v>
      </c>
      <c r="G83" s="57">
        <v>0.32177863829880898</v>
      </c>
      <c r="H83" s="57">
        <v>0.396985709591756</v>
      </c>
      <c r="I83" s="57">
        <v>0.41068628951799802</v>
      </c>
      <c r="J83" s="57">
        <v>0.50634746412077802</v>
      </c>
      <c r="K83" s="58">
        <v>0.55903683036281504</v>
      </c>
      <c r="L83" s="57">
        <v>0.65604545386462698</v>
      </c>
      <c r="M83" s="57">
        <v>0.69959595265330998</v>
      </c>
      <c r="N83" s="57">
        <v>0.71459631830700099</v>
      </c>
      <c r="O83" s="57">
        <v>0.74076893432990598</v>
      </c>
      <c r="P83" s="57">
        <v>0.76947589412911499</v>
      </c>
      <c r="Q83" s="57">
        <v>1.15528778715478</v>
      </c>
      <c r="R83" s="57">
        <v>1.5421628123859601</v>
      </c>
      <c r="S83" s="57">
        <v>2.02470117761428</v>
      </c>
      <c r="T83" s="57">
        <v>2.50139688397417</v>
      </c>
    </row>
    <row r="84" spans="1:20" s="50" customFormat="1" x14ac:dyDescent="0.25">
      <c r="A84" s="51" t="s">
        <v>216</v>
      </c>
      <c r="B84" s="57">
        <v>0.16045609832857899</v>
      </c>
      <c r="C84" s="57">
        <v>0.25152837881151202</v>
      </c>
      <c r="D84" s="57">
        <v>0.32396674217847798</v>
      </c>
      <c r="E84" s="57">
        <v>0.393046403427881</v>
      </c>
      <c r="F84" s="57">
        <v>0.47595159721396502</v>
      </c>
      <c r="G84" s="57">
        <v>0.62243315671596999</v>
      </c>
      <c r="H84" s="57">
        <v>0.71543897601778905</v>
      </c>
      <c r="I84" s="57">
        <v>0.71793723674438803</v>
      </c>
      <c r="J84" s="57">
        <v>0.77845653467556997</v>
      </c>
      <c r="K84" s="57">
        <v>0.73036500160894802</v>
      </c>
      <c r="L84" s="57">
        <v>0.68943135737824401</v>
      </c>
      <c r="M84" s="57">
        <v>0.65418113420440904</v>
      </c>
      <c r="N84" s="57">
        <v>0.72242316996146405</v>
      </c>
      <c r="O84" s="57">
        <v>0.81573418149915899</v>
      </c>
      <c r="P84" s="57">
        <v>0.92978490327294405</v>
      </c>
      <c r="Q84" s="57">
        <v>1.0564100688662199</v>
      </c>
      <c r="R84" s="57">
        <v>1.2096603498534699</v>
      </c>
      <c r="S84" s="57">
        <v>1.4036516584827601</v>
      </c>
      <c r="T84" s="57">
        <v>1.9739320095678801</v>
      </c>
    </row>
    <row r="85" spans="1:20" s="50" customFormat="1" x14ac:dyDescent="0.25">
      <c r="A85" s="51" t="s">
        <v>217</v>
      </c>
      <c r="B85" s="57">
        <v>1.0619944883830399</v>
      </c>
      <c r="C85" s="57">
        <v>2.7386498179766101</v>
      </c>
      <c r="D85" s="57">
        <v>3.8188218830629301</v>
      </c>
      <c r="E85" s="57">
        <v>3.69217802846121</v>
      </c>
      <c r="F85" s="57">
        <v>4.8639295937112799</v>
      </c>
      <c r="G85" s="57">
        <v>7.1527097745627604</v>
      </c>
      <c r="H85" s="57">
        <v>9.7006926121371997</v>
      </c>
      <c r="I85" s="57">
        <v>10.625558803733099</v>
      </c>
      <c r="J85" s="57">
        <v>12.156563133613499</v>
      </c>
      <c r="K85" s="57">
        <v>11.3010491715558</v>
      </c>
      <c r="L85" s="57">
        <v>12.515154341135901</v>
      </c>
      <c r="M85" s="57">
        <v>12.779887271104799</v>
      </c>
      <c r="N85" s="57">
        <v>13.5385628007507</v>
      </c>
      <c r="O85" s="57">
        <v>17.114916550764999</v>
      </c>
      <c r="P85" s="57">
        <v>22.927326816829598</v>
      </c>
      <c r="Q85" s="57">
        <v>29.067843812088999</v>
      </c>
      <c r="R85" s="57">
        <v>33.564523079675098</v>
      </c>
      <c r="S85" s="57">
        <v>29.8314239734867</v>
      </c>
      <c r="T85" s="57">
        <v>30.771936131800501</v>
      </c>
    </row>
    <row r="86" spans="1:20" s="50" customFormat="1" x14ac:dyDescent="0.25">
      <c r="A86" s="51" t="s">
        <v>218</v>
      </c>
      <c r="B86" s="57"/>
      <c r="C86" s="57"/>
      <c r="D86" s="57"/>
      <c r="E86" s="57"/>
      <c r="F86" s="57"/>
      <c r="G86" s="57"/>
      <c r="H86" s="57"/>
      <c r="I86" s="57"/>
      <c r="J86" s="57"/>
      <c r="K86" s="57"/>
      <c r="L86" s="57"/>
      <c r="M86" s="57"/>
      <c r="N86" s="57"/>
      <c r="O86" s="57"/>
      <c r="P86" s="57">
        <v>2.2245240585510198E-3</v>
      </c>
      <c r="Q86" s="57">
        <v>2.2748648414330701E-3</v>
      </c>
      <c r="R86" s="57">
        <v>2.27311979020093E-3</v>
      </c>
      <c r="S86" s="57"/>
      <c r="T86" s="57"/>
    </row>
    <row r="87" spans="1:20" s="50" customFormat="1" x14ac:dyDescent="0.25">
      <c r="A87" s="51" t="s">
        <v>219</v>
      </c>
      <c r="B87" s="57">
        <v>0.33398644126990201</v>
      </c>
      <c r="C87" s="57">
        <v>0.67024709671495297</v>
      </c>
      <c r="D87" s="57">
        <v>0.74809141692947501</v>
      </c>
      <c r="E87" s="57">
        <v>0.83342138710703795</v>
      </c>
      <c r="F87" s="58">
        <v>0.92985462795801099</v>
      </c>
      <c r="G87" s="57">
        <v>1.41945452406807</v>
      </c>
      <c r="H87" s="58">
        <v>1.71147559482032</v>
      </c>
      <c r="I87" s="58">
        <v>2.0586596396561001</v>
      </c>
      <c r="J87" s="57">
        <v>2.9539972820540199</v>
      </c>
      <c r="K87" s="57">
        <v>3.0691932225794099</v>
      </c>
      <c r="L87" s="57">
        <v>2.4845894218479398</v>
      </c>
      <c r="M87" s="57">
        <v>2.0097433177567199</v>
      </c>
      <c r="N87" s="57">
        <v>1.9487912604461799</v>
      </c>
      <c r="O87" s="57">
        <v>1.88868165955195</v>
      </c>
      <c r="P87" s="57">
        <v>2.09833928490665</v>
      </c>
      <c r="Q87" s="57">
        <v>2.15159473337087</v>
      </c>
      <c r="R87" s="57">
        <v>2.7554085800238401</v>
      </c>
      <c r="S87" s="57">
        <v>3.1229747600171298</v>
      </c>
      <c r="T87" s="57">
        <v>3.4056617766544002</v>
      </c>
    </row>
    <row r="88" spans="1:20" s="50" customFormat="1" x14ac:dyDescent="0.25">
      <c r="A88" s="51" t="s">
        <v>220</v>
      </c>
      <c r="B88" s="57"/>
      <c r="C88" s="57"/>
      <c r="D88" s="57"/>
      <c r="E88" s="57"/>
      <c r="F88" s="57"/>
      <c r="G88" s="57">
        <v>2.052133844684E-5</v>
      </c>
      <c r="H88" s="57">
        <v>3.8879836906860001E-5</v>
      </c>
      <c r="I88" s="57">
        <v>1.58047793652801E-4</v>
      </c>
      <c r="J88" s="58">
        <v>8.9555379927504903E-4</v>
      </c>
      <c r="K88" s="57">
        <v>8.9006987315525205E-4</v>
      </c>
      <c r="L88" s="58">
        <v>1.3504314763610099E-3</v>
      </c>
      <c r="M88" s="57">
        <v>1.38502850665672E-3</v>
      </c>
      <c r="N88" s="57">
        <v>1.94947848526301E-3</v>
      </c>
      <c r="O88" s="57">
        <v>1.9757033923913899E-3</v>
      </c>
      <c r="P88" s="57">
        <v>1.91876265903664E-3</v>
      </c>
      <c r="Q88" s="57"/>
      <c r="R88" s="57">
        <v>1.8406409848165501E-3</v>
      </c>
      <c r="S88" s="57">
        <v>1.8146882134276599E-3</v>
      </c>
      <c r="T88" s="57">
        <v>1.74164840403178E-3</v>
      </c>
    </row>
    <row r="89" spans="1:20" s="50" customFormat="1" x14ac:dyDescent="0.25">
      <c r="A89" s="51" t="s">
        <v>221</v>
      </c>
      <c r="B89" s="57">
        <v>6.6076131341279596E-3</v>
      </c>
      <c r="C89" s="57">
        <v>7.4401471431795501E-3</v>
      </c>
      <c r="D89" s="57">
        <v>8.1910415394408492E-3</v>
      </c>
      <c r="E89" s="57">
        <v>1.50854831517093E-2</v>
      </c>
      <c r="F89" s="57">
        <v>1.5921077292464399E-2</v>
      </c>
      <c r="G89" s="57">
        <v>1.6877245719292399E-2</v>
      </c>
      <c r="H89" s="57">
        <v>6.1412967073824799E-2</v>
      </c>
      <c r="I89" s="57">
        <v>8.7230914002667304E-2</v>
      </c>
      <c r="J89" s="57">
        <v>0.11556786021862001</v>
      </c>
      <c r="K89" s="58">
        <v>0.168018787598672</v>
      </c>
      <c r="L89" s="58">
        <v>0.203764013437506</v>
      </c>
      <c r="M89" s="57">
        <v>0.591695011667004</v>
      </c>
      <c r="N89" s="57">
        <v>1.37183531708776</v>
      </c>
      <c r="O89" s="57">
        <v>1.4994373414625699</v>
      </c>
      <c r="P89" s="57">
        <v>1.7569191635688901</v>
      </c>
      <c r="Q89" s="57">
        <v>1.8624830043062801</v>
      </c>
      <c r="R89" s="57">
        <v>1.9784161211611999</v>
      </c>
      <c r="S89" s="57">
        <v>2.2085902975903</v>
      </c>
      <c r="T89" s="57">
        <v>2.4995884721525399</v>
      </c>
    </row>
    <row r="90" spans="1:20" s="50" customFormat="1" x14ac:dyDescent="0.25">
      <c r="A90" s="51" t="s">
        <v>222</v>
      </c>
      <c r="B90" s="57"/>
      <c r="C90" s="57"/>
      <c r="D90" s="57">
        <v>1.9407453754994902E-2</v>
      </c>
      <c r="E90" s="57">
        <v>3.00055960201055E-2</v>
      </c>
      <c r="F90" s="57">
        <v>6.3584948713076406E-2</v>
      </c>
      <c r="G90" s="57">
        <v>0.404376324713075</v>
      </c>
      <c r="H90" s="57">
        <v>0.49214382935582501</v>
      </c>
      <c r="I90" s="57">
        <v>0.58434787605115901</v>
      </c>
      <c r="J90" s="57">
        <v>9.4915311933030294E-2</v>
      </c>
      <c r="K90" s="57">
        <v>0.16875322016206201</v>
      </c>
      <c r="L90" s="57">
        <v>0.86219912190672399</v>
      </c>
      <c r="M90" s="57">
        <v>0.62052948167215505</v>
      </c>
      <c r="N90" s="57">
        <v>0.62739383950136196</v>
      </c>
      <c r="O90" s="57">
        <v>0.31670544964400299</v>
      </c>
      <c r="P90" s="57">
        <v>0.37692004837961801</v>
      </c>
      <c r="Q90" s="57">
        <v>0.607931974735055</v>
      </c>
      <c r="R90" s="57">
        <v>0.74932597493303699</v>
      </c>
      <c r="S90" s="57">
        <v>1.0372356166921399</v>
      </c>
      <c r="T90" s="57">
        <v>1.22815843837127</v>
      </c>
    </row>
    <row r="91" spans="1:20" s="50" customFormat="1" x14ac:dyDescent="0.25">
      <c r="A91" s="51" t="s">
        <v>223</v>
      </c>
      <c r="B91" s="57">
        <v>3.03969965764757E-3</v>
      </c>
      <c r="C91" s="57">
        <v>4.2022639228036498E-3</v>
      </c>
      <c r="D91" s="57">
        <v>6.2724615668406699E-3</v>
      </c>
      <c r="E91" s="57">
        <v>1.5710773500843302E-2</v>
      </c>
      <c r="F91" s="57">
        <v>1.90772032476649E-2</v>
      </c>
      <c r="G91" s="57">
        <v>4.3222146830448997E-2</v>
      </c>
      <c r="H91" s="57">
        <v>0.106474251498514</v>
      </c>
      <c r="I91" s="57">
        <v>0.11183129038340001</v>
      </c>
      <c r="J91" s="58">
        <v>0.117440503367543</v>
      </c>
      <c r="K91" s="57">
        <v>0.15166144400279399</v>
      </c>
      <c r="L91" s="57">
        <v>0.21508363946329201</v>
      </c>
      <c r="M91" s="57">
        <v>0.23741498267797201</v>
      </c>
      <c r="N91" s="57"/>
      <c r="O91" s="57"/>
      <c r="P91" s="57">
        <v>7.5279705268209596E-2</v>
      </c>
      <c r="Q91" s="57">
        <v>7.7818750062982001E-2</v>
      </c>
      <c r="R91" s="57">
        <v>8.3884164402681496E-2</v>
      </c>
      <c r="S91" s="57">
        <v>8.5084943015006201E-2</v>
      </c>
      <c r="T91" s="57">
        <v>9.1296965030500193E-2</v>
      </c>
    </row>
    <row r="92" spans="1:20" s="50" customFormat="1" x14ac:dyDescent="0.25">
      <c r="A92" s="51" t="s">
        <v>224</v>
      </c>
      <c r="B92" s="57">
        <v>2.13332077234063E-3</v>
      </c>
      <c r="C92" s="57">
        <v>1.9283480603118699E-2</v>
      </c>
      <c r="D92" s="58">
        <v>3.1834245450786801E-2</v>
      </c>
      <c r="E92" s="57">
        <v>4.37973895742092E-2</v>
      </c>
      <c r="F92" s="57">
        <v>7.9330551550440803E-2</v>
      </c>
      <c r="G92" s="57">
        <v>7.3516386055616403E-2</v>
      </c>
      <c r="H92" s="57">
        <v>0.113694638710784</v>
      </c>
      <c r="I92" s="57">
        <v>0.10057243612537201</v>
      </c>
      <c r="J92" s="57">
        <v>8.7323869210442703E-2</v>
      </c>
      <c r="K92" s="57">
        <v>0.129100933199499</v>
      </c>
      <c r="L92" s="57">
        <v>0.14262987413508199</v>
      </c>
      <c r="M92" s="57">
        <v>0.18791063697532001</v>
      </c>
      <c r="N92" s="57">
        <v>0.205901846878562</v>
      </c>
      <c r="O92" s="57">
        <v>0.40185674865131099</v>
      </c>
      <c r="P92" s="57">
        <v>0.48013272665923001</v>
      </c>
      <c r="Q92" s="57">
        <v>0.43189723493321802</v>
      </c>
      <c r="R92" s="57">
        <v>0.41110801700931898</v>
      </c>
      <c r="S92" s="57">
        <v>0.42894986329040502</v>
      </c>
      <c r="T92" s="57">
        <v>0.68138987881903901</v>
      </c>
    </row>
    <row r="93" spans="1:20" s="50" customFormat="1" x14ac:dyDescent="0.25">
      <c r="A93" s="51" t="s">
        <v>225</v>
      </c>
      <c r="B93" s="57">
        <v>8.1588140184526203E-2</v>
      </c>
      <c r="C93" s="57">
        <v>8.0718904723599105E-2</v>
      </c>
      <c r="D93" s="57">
        <v>0.118790464710485</v>
      </c>
      <c r="E93" s="57">
        <v>0.138898009429477</v>
      </c>
      <c r="F93" s="57">
        <v>0.35859965806347099</v>
      </c>
      <c r="G93" s="57">
        <v>0.24706982672468999</v>
      </c>
      <c r="H93" s="57">
        <v>0.25008414595969902</v>
      </c>
      <c r="I93" s="57">
        <v>0.52037623407978395</v>
      </c>
      <c r="J93" s="57">
        <v>0.74152578656707702</v>
      </c>
      <c r="K93" s="57">
        <v>1.0715151211425</v>
      </c>
      <c r="L93" s="57">
        <v>1.1388766716163099</v>
      </c>
      <c r="M93" s="57">
        <v>1.1700997253890899</v>
      </c>
      <c r="N93" s="57">
        <v>1.26454162104636</v>
      </c>
      <c r="O93" s="57">
        <v>1.35060459802592</v>
      </c>
      <c r="P93" s="57">
        <v>1.3386096124459801</v>
      </c>
      <c r="Q93" s="57">
        <v>1.3103784866613299</v>
      </c>
      <c r="R93" s="57">
        <v>1.2998054719789101</v>
      </c>
      <c r="S93" s="57">
        <v>1.6215015990982899</v>
      </c>
      <c r="T93" s="57">
        <v>1.5745780720211</v>
      </c>
    </row>
    <row r="94" spans="1:20" x14ac:dyDescent="0.25">
      <c r="A94" s="9" t="s">
        <v>35</v>
      </c>
      <c r="B94" s="11"/>
      <c r="C94" s="11"/>
      <c r="D94" s="11"/>
      <c r="E94" s="11"/>
      <c r="F94" s="11"/>
      <c r="G94" s="11"/>
      <c r="H94" s="11"/>
      <c r="I94" s="11"/>
      <c r="J94" s="11"/>
      <c r="K94" s="11"/>
      <c r="L94" s="11"/>
      <c r="M94" s="11"/>
      <c r="N94" s="11"/>
      <c r="O94" s="11"/>
      <c r="P94" s="11"/>
      <c r="Q94" s="11"/>
      <c r="R94" s="11"/>
      <c r="S94" s="11"/>
      <c r="T94" s="11"/>
    </row>
    <row r="95" spans="1:20" x14ac:dyDescent="0.25">
      <c r="A95" s="51" t="s">
        <v>183</v>
      </c>
      <c r="B95" s="57">
        <v>0.50157686206651797</v>
      </c>
      <c r="C95" s="57">
        <v>0.49045032047767101</v>
      </c>
      <c r="D95" s="57">
        <v>0.45380428413690399</v>
      </c>
      <c r="E95" s="57">
        <v>0.52967156664769</v>
      </c>
      <c r="F95" s="57">
        <v>1.35258563626765</v>
      </c>
      <c r="G95" s="58">
        <v>1.20680022279626</v>
      </c>
      <c r="H95" s="57">
        <v>0.65852953165434203</v>
      </c>
      <c r="I95" s="57">
        <v>0.82750820041184603</v>
      </c>
      <c r="J95" s="57">
        <v>0.82149782806598903</v>
      </c>
      <c r="K95" s="57">
        <v>1.05820273350876</v>
      </c>
      <c r="L95" s="57">
        <v>1.01188665392088</v>
      </c>
      <c r="M95" s="57">
        <v>1.04338919791509</v>
      </c>
      <c r="N95" s="57">
        <v>0.53272980881426202</v>
      </c>
      <c r="O95" s="57">
        <v>0.54911700440503297</v>
      </c>
      <c r="P95" s="57">
        <v>0.38524653356573901</v>
      </c>
      <c r="Q95" s="57">
        <v>0.356233086521556</v>
      </c>
      <c r="R95" s="57">
        <v>0.34750234337700397</v>
      </c>
      <c r="S95" s="57">
        <v>0.263757327095202</v>
      </c>
      <c r="T95" s="57">
        <v>0.235682235486534</v>
      </c>
    </row>
    <row r="96" spans="1:20" x14ac:dyDescent="0.25">
      <c r="A96" s="51" t="s">
        <v>184</v>
      </c>
      <c r="B96" s="57">
        <v>0.905123387399978</v>
      </c>
      <c r="C96" s="57">
        <v>0.88967959249265105</v>
      </c>
      <c r="D96" s="57">
        <v>1.23704917897303</v>
      </c>
      <c r="E96" s="57">
        <v>1.2492758818204499</v>
      </c>
      <c r="F96" s="57">
        <v>1.3370842794562801</v>
      </c>
      <c r="G96" s="57">
        <v>1.3618496340488999</v>
      </c>
      <c r="H96" s="57">
        <v>1.5129849807150499</v>
      </c>
      <c r="I96" s="57">
        <v>1.50721455804899</v>
      </c>
      <c r="J96" s="57">
        <v>1.4888922547496799</v>
      </c>
      <c r="K96" s="57">
        <v>1.7739068816294199</v>
      </c>
      <c r="L96" s="57">
        <v>1.71350643504558</v>
      </c>
      <c r="M96" s="57">
        <v>1.0675729762805799</v>
      </c>
      <c r="N96" s="57">
        <v>0.47166144231871299</v>
      </c>
      <c r="O96" s="57">
        <v>0.39171962152074102</v>
      </c>
      <c r="P96" s="57">
        <v>0.28221648016324702</v>
      </c>
      <c r="Q96" s="57">
        <v>0.247785625419228</v>
      </c>
      <c r="R96" s="57">
        <v>8.5682865149126403E-2</v>
      </c>
      <c r="S96" s="57">
        <v>1.1090518471563801E-2</v>
      </c>
      <c r="T96" s="57">
        <v>1.01126536864698E-2</v>
      </c>
    </row>
    <row r="97" spans="1:20" x14ac:dyDescent="0.25">
      <c r="A97" s="51" t="s">
        <v>185</v>
      </c>
      <c r="B97" s="57">
        <v>7.4169631991703797</v>
      </c>
      <c r="C97" s="57">
        <v>7.0436315294187901</v>
      </c>
      <c r="D97" s="57">
        <v>7.1654420440340898</v>
      </c>
      <c r="E97" s="57">
        <v>7.2966250762832301</v>
      </c>
      <c r="F97" s="57">
        <v>6.9032935092805303</v>
      </c>
      <c r="G97" s="57">
        <v>6.7591980959229501</v>
      </c>
      <c r="H97" s="57">
        <v>7.2136713390417802</v>
      </c>
      <c r="I97" s="57">
        <v>7.6110550185263603</v>
      </c>
      <c r="J97" s="57">
        <v>8.1359585403156593</v>
      </c>
      <c r="K97" s="57">
        <v>7.7915548672126302</v>
      </c>
      <c r="L97" s="57">
        <v>7.2841631518200396</v>
      </c>
      <c r="M97" s="57">
        <v>6.3595635535731496</v>
      </c>
      <c r="N97" s="57">
        <v>6.2294998074333003</v>
      </c>
      <c r="O97" s="57">
        <v>6.1971405842442904</v>
      </c>
      <c r="P97" s="57">
        <v>6.11414773830949</v>
      </c>
      <c r="Q97" s="57">
        <v>5.9175516739126897</v>
      </c>
      <c r="R97" s="57">
        <v>3.9064461712780001</v>
      </c>
      <c r="S97" s="57">
        <v>3.7593877106035798</v>
      </c>
      <c r="T97" s="57">
        <v>3.6200067412722299</v>
      </c>
    </row>
    <row r="98" spans="1:20" x14ac:dyDescent="0.25">
      <c r="A98" s="51" t="s">
        <v>186</v>
      </c>
      <c r="B98" s="57">
        <v>0.65453771833625096</v>
      </c>
      <c r="C98" s="57">
        <v>0.65924538464572902</v>
      </c>
      <c r="D98" s="57">
        <v>0.78795613508818396</v>
      </c>
      <c r="E98" s="57">
        <v>0.97100600972873896</v>
      </c>
      <c r="F98" s="57">
        <v>0.970466960482534</v>
      </c>
      <c r="G98" s="57">
        <v>0.88995158284568099</v>
      </c>
      <c r="H98" s="57">
        <v>0.84941652540633406</v>
      </c>
      <c r="I98" s="57">
        <v>0.82317515424707299</v>
      </c>
      <c r="J98" s="57">
        <v>0.77659126160915504</v>
      </c>
      <c r="K98" s="57">
        <v>0.68348153574041504</v>
      </c>
      <c r="L98" s="57">
        <v>0.39981388350848002</v>
      </c>
      <c r="M98" s="57">
        <v>0.39166053266701301</v>
      </c>
      <c r="N98" s="57">
        <v>0.38201691560849199</v>
      </c>
      <c r="O98" s="57">
        <v>0.37556961718124299</v>
      </c>
      <c r="P98" s="57">
        <v>0.35917933597023799</v>
      </c>
      <c r="Q98" s="57">
        <v>0.34936488212269901</v>
      </c>
      <c r="R98" s="57">
        <v>0.36996181401587602</v>
      </c>
      <c r="S98" s="58">
        <v>0.32280810934700999</v>
      </c>
      <c r="T98" s="57"/>
    </row>
    <row r="99" spans="1:20" x14ac:dyDescent="0.25">
      <c r="A99" s="51" t="s">
        <v>187</v>
      </c>
      <c r="B99" s="58">
        <v>0.366401798584714</v>
      </c>
      <c r="C99" s="57">
        <v>0.35453351178246101</v>
      </c>
      <c r="D99" s="57">
        <v>0.34918451326251798</v>
      </c>
      <c r="E99" s="57">
        <v>0.35753935889810501</v>
      </c>
      <c r="F99" s="57">
        <v>0.34781215081597999</v>
      </c>
      <c r="G99" s="57">
        <v>0.37297721822899998</v>
      </c>
      <c r="H99" s="57">
        <v>0.30880909588393801</v>
      </c>
      <c r="I99" s="57">
        <v>0.17271325231148199</v>
      </c>
      <c r="J99" s="57">
        <v>0.20358564779136901</v>
      </c>
      <c r="K99" s="57">
        <v>0.20064288316850801</v>
      </c>
      <c r="L99" s="57">
        <v>0.197092938000902</v>
      </c>
      <c r="M99" s="57">
        <v>0.17385190789123101</v>
      </c>
      <c r="N99" s="57">
        <v>0.20343690084143601</v>
      </c>
      <c r="O99" s="57">
        <v>0.209200328581959</v>
      </c>
      <c r="P99" s="57">
        <v>0.17083170955084401</v>
      </c>
      <c r="Q99" s="57">
        <v>0.14504198925960099</v>
      </c>
      <c r="R99" s="57">
        <v>0.123219493360871</v>
      </c>
      <c r="S99" s="57">
        <v>0.111987773979876</v>
      </c>
      <c r="T99" s="57">
        <v>0.10492021228025999</v>
      </c>
    </row>
    <row r="100" spans="1:20" x14ac:dyDescent="0.25">
      <c r="A100" s="51" t="s">
        <v>189</v>
      </c>
      <c r="B100" s="57">
        <v>14.759386949486199</v>
      </c>
      <c r="C100" s="57">
        <v>14.586084348152101</v>
      </c>
      <c r="D100" s="57">
        <v>14.4630081218888</v>
      </c>
      <c r="E100" s="57">
        <v>14.333157144139401</v>
      </c>
      <c r="F100" s="57">
        <v>14.200390800192</v>
      </c>
      <c r="G100" s="57">
        <v>14.117940147199601</v>
      </c>
      <c r="H100" s="57">
        <v>14.567100794412699</v>
      </c>
      <c r="I100" s="57">
        <v>13.716049262142199</v>
      </c>
      <c r="J100" s="57">
        <v>12.9195177900337</v>
      </c>
      <c r="K100" s="57">
        <v>11.6373168646526</v>
      </c>
      <c r="L100" s="57">
        <v>12.409200732248999</v>
      </c>
      <c r="M100" s="57">
        <v>12.6277426378489</v>
      </c>
      <c r="N100" s="57">
        <v>12.6673594687391</v>
      </c>
      <c r="O100" s="57">
        <v>12.2084473574009</v>
      </c>
      <c r="P100" s="57">
        <v>11.186647059738901</v>
      </c>
      <c r="Q100" s="57">
        <v>11.2046537744886</v>
      </c>
      <c r="R100" s="57">
        <v>10.6089434025809</v>
      </c>
      <c r="S100" s="57">
        <v>10.9708489420692</v>
      </c>
      <c r="T100" s="57">
        <v>11.5589539966037</v>
      </c>
    </row>
    <row r="101" spans="1:20" x14ac:dyDescent="0.25">
      <c r="A101" s="51" t="s">
        <v>188</v>
      </c>
      <c r="B101" s="57">
        <v>0.587604015650387</v>
      </c>
      <c r="C101" s="57">
        <v>0.744677886957265</v>
      </c>
      <c r="D101" s="57">
        <v>1.0463993809161001</v>
      </c>
      <c r="E101" s="57">
        <v>1.37453015108816</v>
      </c>
      <c r="F101" s="57">
        <v>2.2779825901196702</v>
      </c>
      <c r="G101" s="57">
        <v>2.7430455033047001</v>
      </c>
      <c r="H101" s="57">
        <v>3.3064202673111298</v>
      </c>
      <c r="I101" s="57">
        <v>3.54378515727098</v>
      </c>
      <c r="J101" s="57">
        <v>3.7333051246272801</v>
      </c>
      <c r="K101" s="57">
        <v>5.2413218867380698</v>
      </c>
      <c r="L101" s="57">
        <v>4.6138993035051801</v>
      </c>
      <c r="M101" s="57">
        <v>4.4813924488707997</v>
      </c>
      <c r="N101" s="57">
        <v>3.6710043818951599</v>
      </c>
      <c r="O101" s="57">
        <v>3.6371808014090599</v>
      </c>
      <c r="P101" s="57">
        <v>3.3576719603686902</v>
      </c>
      <c r="Q101" s="57">
        <v>3.6793493675334998</v>
      </c>
      <c r="R101" s="57">
        <v>3.2216034933885198</v>
      </c>
      <c r="S101" s="57">
        <v>3.2431890381170998</v>
      </c>
      <c r="T101" s="57"/>
    </row>
    <row r="102" spans="1:20" x14ac:dyDescent="0.25">
      <c r="A102" s="51" t="s">
        <v>190</v>
      </c>
      <c r="B102" s="57">
        <v>0.23316491054628199</v>
      </c>
      <c r="C102" s="57"/>
      <c r="D102" s="57"/>
      <c r="E102" s="57"/>
      <c r="F102" s="57">
        <v>7.8625812450168905E-2</v>
      </c>
      <c r="G102" s="57">
        <v>2.0676631066805101E-2</v>
      </c>
      <c r="H102" s="57">
        <v>1.7853148977847001E-2</v>
      </c>
      <c r="I102" s="57">
        <v>1.78492112513794E-2</v>
      </c>
      <c r="J102" s="58">
        <v>1.72323954386711E-2</v>
      </c>
      <c r="K102" s="58">
        <v>1.73040992113224E-2</v>
      </c>
      <c r="L102" s="57">
        <v>4.06323174893937E-2</v>
      </c>
      <c r="M102" s="57">
        <v>4.1666109774924499E-2</v>
      </c>
      <c r="N102" s="57">
        <v>4.3892670737586702E-2</v>
      </c>
      <c r="O102" s="57">
        <v>4.4950895297619801E-2</v>
      </c>
      <c r="P102" s="58">
        <v>4.0447323125372699E-2</v>
      </c>
      <c r="Q102" s="58">
        <v>3.9788104470830102E-2</v>
      </c>
      <c r="R102" s="58">
        <v>3.9122865358658901E-2</v>
      </c>
      <c r="S102" s="58">
        <v>4.0956924809716001E-2</v>
      </c>
      <c r="T102" s="57"/>
    </row>
    <row r="103" spans="1:20" x14ac:dyDescent="0.25">
      <c r="A103" s="51" t="s">
        <v>191</v>
      </c>
      <c r="B103" s="57">
        <v>0.12587029627544</v>
      </c>
      <c r="C103" s="58">
        <v>0.18680373577583001</v>
      </c>
      <c r="D103" s="58">
        <v>0.28876540157341002</v>
      </c>
      <c r="E103" s="58">
        <v>0.392112577089333</v>
      </c>
      <c r="F103" s="57">
        <v>0.48989578899983999</v>
      </c>
      <c r="G103" s="57">
        <v>0.416054318450852</v>
      </c>
      <c r="H103" s="57">
        <v>0.24961981566910599</v>
      </c>
      <c r="I103" s="57">
        <v>0.211467748310915</v>
      </c>
      <c r="J103" s="57">
        <v>0.22878401329800199</v>
      </c>
      <c r="K103" s="57">
        <v>0.166188844372957</v>
      </c>
      <c r="L103" s="57">
        <v>0.116257786844703</v>
      </c>
      <c r="M103" s="57">
        <v>8.8205784386080899E-2</v>
      </c>
      <c r="N103" s="57">
        <v>5.5457553944216899E-2</v>
      </c>
      <c r="O103" s="57">
        <v>5.59278473825848E-2</v>
      </c>
      <c r="P103" s="57">
        <v>3.9100466322805498E-2</v>
      </c>
      <c r="Q103" s="57">
        <v>3.1002029123445501E-2</v>
      </c>
      <c r="R103" s="57">
        <v>2.9694407304622299E-2</v>
      </c>
      <c r="S103" s="57">
        <v>1.0094652402592301E-2</v>
      </c>
      <c r="T103" s="57">
        <v>0</v>
      </c>
    </row>
    <row r="104" spans="1:20" x14ac:dyDescent="0.25">
      <c r="A104" s="51" t="s">
        <v>192</v>
      </c>
      <c r="B104" s="57">
        <v>0.43033844074480199</v>
      </c>
      <c r="C104" s="57">
        <v>0.35841892276794102</v>
      </c>
      <c r="D104" s="57">
        <v>0.33674753732636897</v>
      </c>
      <c r="E104" s="57">
        <v>0.220006383831646</v>
      </c>
      <c r="F104" s="57">
        <v>0.270950867031096</v>
      </c>
      <c r="G104" s="57">
        <v>0.30029424353863199</v>
      </c>
      <c r="H104" s="57">
        <v>0.30804447294458398</v>
      </c>
      <c r="I104" s="57">
        <v>0.31499119281924698</v>
      </c>
      <c r="J104" s="57">
        <v>0.322805855923464</v>
      </c>
      <c r="K104" s="58">
        <v>0.32758024711206901</v>
      </c>
      <c r="L104" s="58">
        <v>0.33349151293525298</v>
      </c>
      <c r="M104" s="57">
        <v>0.32551235644905102</v>
      </c>
      <c r="N104" s="57">
        <v>0.31769697352519</v>
      </c>
      <c r="O104" s="57"/>
      <c r="P104" s="57">
        <v>0.30267092851072902</v>
      </c>
      <c r="Q104" s="57">
        <v>0.29550873654196702</v>
      </c>
      <c r="R104" s="57"/>
      <c r="S104" s="58">
        <v>0.29169339915269099</v>
      </c>
      <c r="T104" s="57"/>
    </row>
    <row r="105" spans="1:20" x14ac:dyDescent="0.25">
      <c r="A105" s="51" t="s">
        <v>193</v>
      </c>
      <c r="B105" s="57">
        <v>1.28816573749712</v>
      </c>
      <c r="C105" s="57">
        <v>1.3168618649267201</v>
      </c>
      <c r="D105" s="57">
        <v>1.17720604465179</v>
      </c>
      <c r="E105" s="57">
        <v>1.65703600265849</v>
      </c>
      <c r="F105" s="57">
        <v>1.28225642946567</v>
      </c>
      <c r="G105" s="57">
        <v>1.2599705666094401</v>
      </c>
      <c r="H105" s="57">
        <v>1.2030893742929201</v>
      </c>
      <c r="I105" s="57">
        <v>1.1766910222056599</v>
      </c>
      <c r="J105" s="57">
        <v>1.1367901327393399</v>
      </c>
      <c r="K105" s="57">
        <v>0.98944058266277402</v>
      </c>
      <c r="L105" s="57">
        <v>1.0981709746307</v>
      </c>
      <c r="M105" s="57">
        <v>1.1124071520683101</v>
      </c>
      <c r="N105" s="57">
        <v>1.1429983467854301</v>
      </c>
      <c r="O105" s="57">
        <v>1.10106355651051</v>
      </c>
      <c r="P105" s="57">
        <v>0.96379921703284699</v>
      </c>
      <c r="Q105" s="57">
        <v>0.91226665717693001</v>
      </c>
      <c r="R105" s="57">
        <v>0.895362225898368</v>
      </c>
      <c r="S105" s="57">
        <v>0.86628716129053096</v>
      </c>
      <c r="T105" s="57">
        <v>0.78415489050863496</v>
      </c>
    </row>
    <row r="106" spans="1:20" x14ac:dyDescent="0.25">
      <c r="A106" s="51" t="s">
        <v>249</v>
      </c>
      <c r="B106" s="57">
        <v>1.7998927584456498E-2</v>
      </c>
      <c r="C106" s="57">
        <v>1.6002399898059801E-2</v>
      </c>
      <c r="D106" s="57">
        <v>5.6019941306467E-3</v>
      </c>
      <c r="E106" s="57">
        <v>5.7958712772398203E-2</v>
      </c>
      <c r="F106" s="57">
        <v>6.3723381258977696E-2</v>
      </c>
      <c r="G106" s="57">
        <v>6.1242910502303002E-2</v>
      </c>
      <c r="H106" s="57">
        <v>8.0410097424941804E-2</v>
      </c>
      <c r="I106" s="57">
        <v>8.1269961710809802E-2</v>
      </c>
      <c r="J106" s="57">
        <v>0</v>
      </c>
      <c r="K106" s="57">
        <v>0</v>
      </c>
      <c r="L106" s="57">
        <v>0</v>
      </c>
      <c r="M106" s="57">
        <v>0</v>
      </c>
      <c r="N106" s="57">
        <v>0</v>
      </c>
      <c r="O106" s="57">
        <v>0</v>
      </c>
      <c r="P106" s="57">
        <v>0</v>
      </c>
      <c r="Q106" s="57">
        <v>0</v>
      </c>
      <c r="R106" s="57">
        <v>0</v>
      </c>
      <c r="S106" s="57">
        <v>0</v>
      </c>
      <c r="T106" s="57">
        <v>0</v>
      </c>
    </row>
    <row r="107" spans="1:20" x14ac:dyDescent="0.25">
      <c r="A107" s="51" t="s">
        <v>194</v>
      </c>
      <c r="B107" s="57">
        <v>1.0555571388912599</v>
      </c>
      <c r="C107" s="58">
        <v>1.00975116701991</v>
      </c>
      <c r="D107" s="58">
        <v>0.96520997177725998</v>
      </c>
      <c r="E107" s="58">
        <v>0.92205840317925702</v>
      </c>
      <c r="F107" s="58">
        <v>0.88053515404522298</v>
      </c>
      <c r="G107" s="57">
        <v>1.1384383790898001</v>
      </c>
      <c r="H107" s="57">
        <v>1.1692374590827299</v>
      </c>
      <c r="I107" s="57">
        <v>1.14945461208226</v>
      </c>
      <c r="J107" s="57">
        <v>1.1047987770182801</v>
      </c>
      <c r="K107" s="57">
        <v>1.0794183285375101</v>
      </c>
      <c r="L107" s="57">
        <v>0.77954609700788802</v>
      </c>
      <c r="M107" s="57">
        <v>0.72862365782469796</v>
      </c>
      <c r="N107" s="57">
        <v>0.71550362392120803</v>
      </c>
      <c r="O107" s="57">
        <v>0.67111187548796003</v>
      </c>
      <c r="P107" s="58">
        <v>0.65861282965817403</v>
      </c>
      <c r="Q107" s="57">
        <v>0.655415655870077</v>
      </c>
      <c r="R107" s="57">
        <v>0.64362577368707696</v>
      </c>
      <c r="S107" s="57">
        <v>0.63147856027989302</v>
      </c>
      <c r="T107" s="57"/>
    </row>
    <row r="108" spans="1:20" x14ac:dyDescent="0.25">
      <c r="A108" s="51" t="s">
        <v>195</v>
      </c>
      <c r="B108" s="57">
        <v>1.4170970778385099</v>
      </c>
      <c r="C108" s="57">
        <v>1.38860633356291</v>
      </c>
      <c r="D108" s="57">
        <v>1.3637977531530401</v>
      </c>
      <c r="E108" s="57">
        <v>1.43502512314799</v>
      </c>
      <c r="F108" s="57">
        <v>1.67849481540989</v>
      </c>
      <c r="G108" s="57">
        <v>1.8413777601822101</v>
      </c>
      <c r="H108" s="57">
        <v>1.9500847928203699</v>
      </c>
      <c r="I108" s="57">
        <v>1.9786051179655599</v>
      </c>
      <c r="J108" s="57">
        <v>2.0145656331724302</v>
      </c>
      <c r="K108" s="58">
        <v>2.0677357937666199</v>
      </c>
      <c r="L108" s="58">
        <v>2.1252301527654098</v>
      </c>
      <c r="M108" s="57">
        <v>2.1149563893854699</v>
      </c>
      <c r="N108" s="58">
        <v>2.10040354284782</v>
      </c>
      <c r="O108" s="57"/>
      <c r="P108" s="58">
        <v>2.0369150736036201</v>
      </c>
      <c r="Q108" s="58">
        <v>2.0053043337968801</v>
      </c>
      <c r="R108" s="58">
        <v>1.9700416365315001</v>
      </c>
      <c r="S108" s="58">
        <v>2.0007936770977799</v>
      </c>
      <c r="T108" s="57"/>
    </row>
    <row r="109" spans="1:20" x14ac:dyDescent="0.25">
      <c r="A109" s="51" t="s">
        <v>196</v>
      </c>
      <c r="B109" s="57">
        <v>4.0862002813659002</v>
      </c>
      <c r="C109" s="57">
        <v>4.0838740137730598</v>
      </c>
      <c r="D109" s="57">
        <v>4.1119276064563701</v>
      </c>
      <c r="E109" s="57">
        <v>4.1127738957882398</v>
      </c>
      <c r="F109" s="57">
        <v>4.0864930014215197</v>
      </c>
      <c r="G109" s="57">
        <v>4.7646291548598896</v>
      </c>
      <c r="H109" s="57">
        <v>6.7832135927280701</v>
      </c>
      <c r="I109" s="57">
        <v>4.0543197880880504</v>
      </c>
      <c r="J109" s="58">
        <v>4.0708324852432298</v>
      </c>
      <c r="K109" s="58">
        <v>3.9074222541778201</v>
      </c>
      <c r="L109" s="58">
        <v>3.7626453321759601</v>
      </c>
      <c r="M109" s="58">
        <v>3.6537402556052299</v>
      </c>
      <c r="N109" s="57">
        <v>3.18020713265037</v>
      </c>
      <c r="O109" s="57">
        <v>3.7756784201606801</v>
      </c>
      <c r="P109" s="57">
        <v>3.6026728277765301</v>
      </c>
      <c r="Q109" s="57">
        <v>3.9376924682807202</v>
      </c>
      <c r="R109" s="57">
        <v>3.3189319016437202</v>
      </c>
      <c r="S109" s="57">
        <v>3.1815127691220999</v>
      </c>
      <c r="T109" s="57">
        <v>3.4082726943225001</v>
      </c>
    </row>
    <row r="110" spans="1:20" x14ac:dyDescent="0.25">
      <c r="A110" s="51" t="s">
        <v>197</v>
      </c>
      <c r="B110" s="57">
        <v>0.77882698012325802</v>
      </c>
      <c r="C110" s="57">
        <v>0.89840724360247604</v>
      </c>
      <c r="D110" s="57">
        <v>1.05903000120922</v>
      </c>
      <c r="E110" s="57">
        <v>1.0489227560361301</v>
      </c>
      <c r="F110" s="57">
        <v>1.03974841455803</v>
      </c>
      <c r="G110" s="57">
        <v>1.0038622900305201</v>
      </c>
      <c r="H110" s="57">
        <v>0.88997130111797096</v>
      </c>
      <c r="I110" s="57">
        <v>0.83247522381994798</v>
      </c>
      <c r="J110" s="57">
        <v>0.77352667751747495</v>
      </c>
      <c r="K110" s="57">
        <v>0.81095292803949903</v>
      </c>
      <c r="L110" s="57">
        <v>0.85748201295818904</v>
      </c>
      <c r="M110" s="57">
        <v>1.07479362322601</v>
      </c>
      <c r="N110" s="57">
        <v>1.07690151925272</v>
      </c>
      <c r="O110" s="57"/>
      <c r="P110" s="58">
        <v>1.0817593827916401</v>
      </c>
      <c r="Q110" s="57">
        <v>0.84091791538702398</v>
      </c>
      <c r="R110" s="57">
        <v>0.724832351918134</v>
      </c>
      <c r="S110" s="57">
        <v>0.68761167816825397</v>
      </c>
      <c r="T110" s="57"/>
    </row>
    <row r="111" spans="1:20" x14ac:dyDescent="0.25">
      <c r="A111" s="51" t="s">
        <v>198</v>
      </c>
      <c r="B111" s="57">
        <v>2.6735998414753701</v>
      </c>
      <c r="C111" s="57">
        <v>2.4182924638194199</v>
      </c>
      <c r="D111" s="57">
        <v>1.7026326966908001</v>
      </c>
      <c r="E111" s="57">
        <v>2.06355872882542</v>
      </c>
      <c r="F111" s="57">
        <v>2.1943286894934602</v>
      </c>
      <c r="G111" s="57">
        <v>1.7664614778132599</v>
      </c>
      <c r="H111" s="57">
        <v>1.2625807736877701</v>
      </c>
      <c r="I111" s="57">
        <v>1.2242749834992801</v>
      </c>
      <c r="J111" s="57">
        <v>1.00634638032596</v>
      </c>
      <c r="K111" s="57">
        <v>0.93499845076751498</v>
      </c>
      <c r="L111" s="57">
        <v>0.91906423797482495</v>
      </c>
      <c r="M111" s="57">
        <v>0.90205903330276604</v>
      </c>
      <c r="N111" s="57">
        <v>0.98451481292595899</v>
      </c>
      <c r="O111" s="57">
        <v>0.98620541893163605</v>
      </c>
      <c r="P111" s="57">
        <v>0.98297574729704795</v>
      </c>
      <c r="Q111" s="57">
        <v>1.0948362976897299</v>
      </c>
      <c r="R111" s="57">
        <v>1.33410638686392</v>
      </c>
      <c r="S111" s="57">
        <v>1.7852536689338701</v>
      </c>
      <c r="T111" s="57">
        <v>2.1956391468249401</v>
      </c>
    </row>
    <row r="112" spans="1:20" x14ac:dyDescent="0.25">
      <c r="A112" s="51" t="s">
        <v>199</v>
      </c>
      <c r="B112" s="57">
        <v>2.6394135223153401</v>
      </c>
      <c r="C112" s="57">
        <v>2.6993922257363998</v>
      </c>
      <c r="D112" s="57">
        <v>2.7579973428083102</v>
      </c>
      <c r="E112" s="57">
        <v>2.68822764449471</v>
      </c>
      <c r="F112" s="57">
        <v>2.5889938239477801</v>
      </c>
      <c r="G112" s="57">
        <v>2.5317263823360001</v>
      </c>
      <c r="H112" s="57">
        <v>2.54311961382892</v>
      </c>
      <c r="I112" s="57">
        <v>3.14209723096441</v>
      </c>
      <c r="J112" s="57">
        <v>3.0514017358899501</v>
      </c>
      <c r="K112" s="57">
        <v>2.5798234072278099</v>
      </c>
      <c r="L112" s="57">
        <v>2.0229001285215902</v>
      </c>
      <c r="M112" s="57">
        <v>1.66255869135626</v>
      </c>
      <c r="N112" s="57">
        <v>1.3679510919059099</v>
      </c>
      <c r="O112" s="57">
        <v>1.83361448755476</v>
      </c>
      <c r="P112" s="58">
        <v>2.4421574996214699</v>
      </c>
      <c r="Q112" s="58">
        <v>2.3849907760481699</v>
      </c>
      <c r="R112" s="58">
        <v>2.3291835047224199</v>
      </c>
      <c r="S112" s="58">
        <v>2.3924793379025702</v>
      </c>
      <c r="T112" s="57"/>
    </row>
    <row r="113" spans="1:20" x14ac:dyDescent="0.25">
      <c r="A113" s="51" t="s">
        <v>200</v>
      </c>
      <c r="B113" s="57">
        <v>1.43222293582583</v>
      </c>
      <c r="C113" s="57">
        <v>1.5466325635390801</v>
      </c>
      <c r="D113" s="57">
        <v>1.59252413864163</v>
      </c>
      <c r="E113" s="57">
        <v>0.59340338324877095</v>
      </c>
      <c r="F113" s="57">
        <v>1.07546399693935</v>
      </c>
      <c r="G113" s="57">
        <v>1.0908618431524699</v>
      </c>
      <c r="H113" s="57">
        <v>1.09109039984843</v>
      </c>
      <c r="I113" s="57">
        <v>1.06597644640953</v>
      </c>
      <c r="J113" s="57">
        <v>0.98743918148827803</v>
      </c>
      <c r="K113" s="57">
        <v>0.92864556334747295</v>
      </c>
      <c r="L113" s="57">
        <v>0.96030578126592103</v>
      </c>
      <c r="M113" s="57">
        <v>0.85666863168944296</v>
      </c>
      <c r="N113" s="57">
        <v>1.0048901715835501</v>
      </c>
      <c r="O113" s="57">
        <v>0.90861926617257804</v>
      </c>
      <c r="P113" s="57">
        <v>0.92303499046432902</v>
      </c>
      <c r="Q113" s="57">
        <v>0.96484521718002003</v>
      </c>
      <c r="R113" s="57">
        <v>0.96950781958607501</v>
      </c>
      <c r="S113" s="57">
        <v>0.99554884541239497</v>
      </c>
      <c r="T113" s="57">
        <v>0.94252637200390599</v>
      </c>
    </row>
    <row r="114" spans="1:20" x14ac:dyDescent="0.25">
      <c r="A114" s="51" t="s">
        <v>201</v>
      </c>
      <c r="B114" s="58">
        <v>0.27039175655570202</v>
      </c>
      <c r="C114" s="57">
        <v>0.243613848324535</v>
      </c>
      <c r="D114" s="57">
        <v>0.22768950727059201</v>
      </c>
      <c r="E114" s="57">
        <v>0.27275840575742499</v>
      </c>
      <c r="F114" s="58">
        <v>0.216886935066221</v>
      </c>
      <c r="G114" s="57">
        <v>0.17314208443446899</v>
      </c>
      <c r="H114" s="58">
        <v>0.16890607977434099</v>
      </c>
      <c r="I114" s="57">
        <v>0</v>
      </c>
      <c r="J114" s="57">
        <v>0</v>
      </c>
      <c r="K114" s="58">
        <v>0</v>
      </c>
      <c r="L114" s="57">
        <v>0</v>
      </c>
      <c r="M114" s="57">
        <v>0</v>
      </c>
      <c r="N114" s="57">
        <v>0</v>
      </c>
      <c r="O114" s="57">
        <v>0</v>
      </c>
      <c r="P114" s="57"/>
      <c r="Q114" s="57"/>
      <c r="R114" s="58">
        <v>0</v>
      </c>
      <c r="S114" s="58">
        <v>0</v>
      </c>
      <c r="T114" s="57"/>
    </row>
    <row r="115" spans="1:20" x14ac:dyDescent="0.25">
      <c r="A115" s="51" t="s">
        <v>202</v>
      </c>
      <c r="B115" s="57">
        <v>0.69586742762841203</v>
      </c>
      <c r="C115" s="57">
        <v>0.47933198756732698</v>
      </c>
      <c r="D115" s="57">
        <v>0.31523391679864599</v>
      </c>
      <c r="E115" s="57">
        <v>0.312287054098843</v>
      </c>
      <c r="F115" s="57">
        <v>0.317352790300168</v>
      </c>
      <c r="G115" s="58">
        <v>0</v>
      </c>
      <c r="H115" s="58">
        <v>0</v>
      </c>
      <c r="I115" s="58">
        <v>0</v>
      </c>
      <c r="J115" s="58">
        <v>0</v>
      </c>
      <c r="K115" s="58">
        <v>0</v>
      </c>
      <c r="L115" s="57">
        <v>0</v>
      </c>
      <c r="M115" s="57">
        <v>0</v>
      </c>
      <c r="N115" s="57">
        <v>0</v>
      </c>
      <c r="O115" s="57">
        <v>0</v>
      </c>
      <c r="P115" s="57"/>
      <c r="Q115" s="57"/>
      <c r="R115" s="57"/>
      <c r="S115" s="57">
        <v>0</v>
      </c>
      <c r="T115" s="57"/>
    </row>
    <row r="116" spans="1:20" x14ac:dyDescent="0.25">
      <c r="A116" s="51" t="s">
        <v>203</v>
      </c>
      <c r="B116" s="57">
        <v>0.80099766222850299</v>
      </c>
      <c r="C116" s="57">
        <v>0.79493804575372995</v>
      </c>
      <c r="D116" s="57">
        <v>1.2192705456562101</v>
      </c>
      <c r="E116" s="57">
        <v>1.6486002484648501</v>
      </c>
      <c r="F116" s="57">
        <v>1.6434477254028099</v>
      </c>
      <c r="G116" s="57">
        <v>0.91529114452428095</v>
      </c>
      <c r="H116" s="57">
        <v>0.66313425078606103</v>
      </c>
      <c r="I116" s="57">
        <v>0.57319828474571</v>
      </c>
      <c r="J116" s="57">
        <v>0.45425333849662702</v>
      </c>
      <c r="K116" s="57">
        <v>0.39084554142063699</v>
      </c>
      <c r="L116" s="57">
        <v>0.18156440063551799</v>
      </c>
      <c r="M116" s="57">
        <v>0.151228652566852</v>
      </c>
      <c r="N116" s="57">
        <v>0.14200035017850199</v>
      </c>
      <c r="O116" s="57">
        <v>0.13074642998251201</v>
      </c>
      <c r="P116" s="57">
        <v>0.13748069027516799</v>
      </c>
      <c r="Q116" s="57">
        <v>0.12763194689334401</v>
      </c>
      <c r="R116" s="57">
        <v>0.11480074678359301</v>
      </c>
      <c r="S116" s="57">
        <v>0.11632099048926101</v>
      </c>
      <c r="T116" s="57">
        <v>0.12258984861003</v>
      </c>
    </row>
    <row r="117" spans="1:20" x14ac:dyDescent="0.25">
      <c r="A117" s="51" t="s">
        <v>204</v>
      </c>
      <c r="B117" s="57">
        <v>2.4558184115723098</v>
      </c>
      <c r="C117" s="57">
        <v>2.7318395342464501</v>
      </c>
      <c r="D117" s="57">
        <v>2.4360200443564302</v>
      </c>
      <c r="E117" s="57">
        <v>2.0945406172563898</v>
      </c>
      <c r="F117" s="58">
        <v>2.0193014933239399</v>
      </c>
      <c r="G117" s="57">
        <v>1.9342257060860599</v>
      </c>
      <c r="H117" s="57">
        <v>1.9155326515422699</v>
      </c>
      <c r="I117" s="57">
        <v>2.4955833645471701</v>
      </c>
      <c r="J117" s="57">
        <v>2.44808665580033</v>
      </c>
      <c r="K117" s="57">
        <v>2.3899938896845301</v>
      </c>
      <c r="L117" s="57">
        <v>1.92767214463861</v>
      </c>
      <c r="M117" s="57">
        <v>1.9319177139552599</v>
      </c>
      <c r="N117" s="57">
        <v>0.49311347126479399</v>
      </c>
      <c r="O117" s="57">
        <v>0.38138800871770201</v>
      </c>
      <c r="P117" s="57">
        <v>0.58608539403142501</v>
      </c>
      <c r="Q117" s="57">
        <v>0.51768395694107505</v>
      </c>
      <c r="R117" s="57">
        <v>0.42267620941817602</v>
      </c>
      <c r="S117" s="57">
        <v>0.29499892831053598</v>
      </c>
      <c r="T117" s="57">
        <v>0.31763309267860501</v>
      </c>
    </row>
    <row r="118" spans="1:20" x14ac:dyDescent="0.25">
      <c r="A118" s="51" t="s">
        <v>205</v>
      </c>
      <c r="B118" s="57"/>
      <c r="C118" s="57"/>
      <c r="D118" s="57">
        <v>5.5818263583216399E-2</v>
      </c>
      <c r="E118" s="58">
        <v>5.2342277668978497E-2</v>
      </c>
      <c r="F118" s="57">
        <v>6.0207535934312398E-2</v>
      </c>
      <c r="G118" s="57">
        <v>0.143044034206396</v>
      </c>
      <c r="H118" s="57">
        <v>0.22005705516327401</v>
      </c>
      <c r="I118" s="57">
        <v>0.31406048374095602</v>
      </c>
      <c r="J118" s="58">
        <v>0.24607185432367301</v>
      </c>
      <c r="K118" s="57">
        <v>0.21996834997227399</v>
      </c>
      <c r="L118" s="58">
        <v>0.193156632215393</v>
      </c>
      <c r="M118" s="58">
        <v>0.16822244390202101</v>
      </c>
      <c r="N118" s="57"/>
      <c r="O118" s="57"/>
      <c r="P118" s="58">
        <v>0.11895979178864199</v>
      </c>
      <c r="Q118" s="58">
        <v>0.11651700381185399</v>
      </c>
      <c r="R118" s="58">
        <v>0.114083124386922</v>
      </c>
      <c r="S118" s="58">
        <v>0.11639043015327299</v>
      </c>
      <c r="T118" s="57"/>
    </row>
    <row r="119" spans="1:20" x14ac:dyDescent="0.25">
      <c r="A119" s="51" t="s">
        <v>206</v>
      </c>
      <c r="B119" s="57">
        <v>0.48208461642967698</v>
      </c>
      <c r="C119" s="57">
        <v>0.657896704100151</v>
      </c>
      <c r="D119" s="57">
        <v>0.65897311835180605</v>
      </c>
      <c r="E119" s="57">
        <v>0.787862075030205</v>
      </c>
      <c r="F119" s="57">
        <v>0.86391414600822003</v>
      </c>
      <c r="G119" s="57">
        <v>0.64041303067977995</v>
      </c>
      <c r="H119" s="57">
        <v>0.60608264723537897</v>
      </c>
      <c r="I119" s="57">
        <v>0.61045233236204999</v>
      </c>
      <c r="J119" s="57">
        <v>0.60462999947323204</v>
      </c>
      <c r="K119" s="57">
        <v>0.59987446469416394</v>
      </c>
      <c r="L119" s="57">
        <v>0.58456263812743003</v>
      </c>
      <c r="M119" s="57">
        <v>0.56929223471368795</v>
      </c>
      <c r="N119" s="57">
        <v>0.25679795806949801</v>
      </c>
      <c r="O119" s="57">
        <v>0.25112269805708898</v>
      </c>
      <c r="P119" s="57">
        <v>0.261070745483788</v>
      </c>
      <c r="Q119" s="57">
        <v>0.17146425813810201</v>
      </c>
      <c r="R119" s="57">
        <v>0.121299044564996</v>
      </c>
      <c r="S119" s="57">
        <v>0.12917719501764599</v>
      </c>
      <c r="T119" s="57">
        <v>1.0940529040773601E-2</v>
      </c>
    </row>
    <row r="120" spans="1:20" x14ac:dyDescent="0.25">
      <c r="A120" s="51" t="s">
        <v>207</v>
      </c>
      <c r="B120" s="57">
        <v>0.80002922111325103</v>
      </c>
      <c r="C120" s="58">
        <v>0.984945412431117</v>
      </c>
      <c r="D120" s="57">
        <v>1.2905463569976099</v>
      </c>
      <c r="E120" s="57">
        <v>0.79657754916728696</v>
      </c>
      <c r="F120" s="57">
        <v>0.77337204465639497</v>
      </c>
      <c r="G120" s="57">
        <v>1.0259223659749499</v>
      </c>
      <c r="H120" s="57">
        <v>1.13646085803217</v>
      </c>
      <c r="I120" s="57">
        <v>1.4468562711777699</v>
      </c>
      <c r="J120" s="57">
        <v>0.20770561922001801</v>
      </c>
      <c r="K120" s="57">
        <v>0.114086915422628</v>
      </c>
      <c r="L120" s="57">
        <v>8.4644443295978103E-2</v>
      </c>
      <c r="M120" s="57">
        <v>6.3983181433554706E-2</v>
      </c>
      <c r="N120" s="57">
        <v>9.6104622495421899E-2</v>
      </c>
      <c r="O120" s="57">
        <v>8.0915017588707699E-2</v>
      </c>
      <c r="P120" s="57">
        <v>6.8859301855716398E-2</v>
      </c>
      <c r="Q120" s="57">
        <v>6.3812181169462995E-2</v>
      </c>
      <c r="R120" s="57">
        <v>6.1903727681860497E-2</v>
      </c>
      <c r="S120" s="57">
        <v>4.5972701860805397E-2</v>
      </c>
      <c r="T120" s="57">
        <v>2.2781890595561599E-2</v>
      </c>
    </row>
    <row r="121" spans="1:20" x14ac:dyDescent="0.25">
      <c r="A121" s="51" t="s">
        <v>208</v>
      </c>
      <c r="B121" s="57">
        <v>0.56064686522959095</v>
      </c>
      <c r="C121" s="57">
        <v>0.589851180177695</v>
      </c>
      <c r="D121" s="57">
        <v>0.55337007250424097</v>
      </c>
      <c r="E121" s="57">
        <v>0.54264897245672905</v>
      </c>
      <c r="F121" s="57">
        <v>0.54935561369123598</v>
      </c>
      <c r="G121" s="57">
        <v>0.718373017381158</v>
      </c>
      <c r="H121" s="57">
        <v>0.63571369542953005</v>
      </c>
      <c r="I121" s="57">
        <v>0.66036906338508605</v>
      </c>
      <c r="J121" s="57">
        <v>0.72373875368958596</v>
      </c>
      <c r="K121" s="57">
        <v>0.85690739210467903</v>
      </c>
      <c r="L121" s="57">
        <v>0.908975420993962</v>
      </c>
      <c r="M121" s="57">
        <v>1.0463705694807699</v>
      </c>
      <c r="N121" s="57">
        <v>1.08460546456064</v>
      </c>
      <c r="O121" s="57">
        <v>1.1158236241704</v>
      </c>
      <c r="P121" s="57">
        <v>1.1497832892428299</v>
      </c>
      <c r="Q121" s="57">
        <v>1.2970439677263801</v>
      </c>
      <c r="R121" s="57">
        <v>1.3446780799003799</v>
      </c>
      <c r="S121" s="57">
        <v>1.33014687526005</v>
      </c>
      <c r="T121" s="57"/>
    </row>
    <row r="122" spans="1:20" x14ac:dyDescent="0.25">
      <c r="A122" s="51" t="s">
        <v>209</v>
      </c>
      <c r="B122" s="57">
        <v>28.435072760029101</v>
      </c>
      <c r="C122" s="57">
        <v>28.275468613628501</v>
      </c>
      <c r="D122" s="57">
        <v>28.417241819336201</v>
      </c>
      <c r="E122" s="57">
        <v>28.5258132720347</v>
      </c>
      <c r="F122" s="57">
        <v>29.332933011825101</v>
      </c>
      <c r="G122" s="57">
        <v>30.225093922315999</v>
      </c>
      <c r="H122" s="57">
        <v>29.123035886017401</v>
      </c>
      <c r="I122" s="57">
        <v>27.079438708626501</v>
      </c>
      <c r="J122" s="57">
        <v>28.1180866687736</v>
      </c>
      <c r="K122" s="57">
        <v>28.807938049775402</v>
      </c>
      <c r="L122" s="57">
        <v>29.4055057940454</v>
      </c>
      <c r="M122" s="57">
        <v>30.151656250991799</v>
      </c>
      <c r="N122" s="57">
        <v>32.007004195544098</v>
      </c>
      <c r="O122" s="57">
        <v>33.697150833350797</v>
      </c>
      <c r="P122" s="57">
        <v>35.661253080612902</v>
      </c>
      <c r="Q122" s="57">
        <v>37.304505919859601</v>
      </c>
      <c r="R122" s="57">
        <v>36.659234790246799</v>
      </c>
      <c r="S122" s="57">
        <v>36.211044329339501</v>
      </c>
      <c r="T122" s="57">
        <v>36.416800409551598</v>
      </c>
    </row>
    <row r="123" spans="1:20" x14ac:dyDescent="0.25">
      <c r="A123" s="51" t="s">
        <v>210</v>
      </c>
      <c r="B123" s="57">
        <v>0.325010592443504</v>
      </c>
      <c r="C123" s="57">
        <v>0.33825326271064299</v>
      </c>
      <c r="D123" s="57">
        <v>0.36640989006059099</v>
      </c>
      <c r="E123" s="57">
        <v>0.35897094628745302</v>
      </c>
      <c r="F123" s="57">
        <v>0.368202656827326</v>
      </c>
      <c r="G123" s="57">
        <v>0.38289099615704603</v>
      </c>
      <c r="H123" s="57">
        <v>0.37261556378675698</v>
      </c>
      <c r="I123" s="57">
        <v>0.36215201624663101</v>
      </c>
      <c r="J123" s="57">
        <v>0.30963278170014702</v>
      </c>
      <c r="K123" s="57">
        <v>0.33680161389923202</v>
      </c>
      <c r="L123" s="57">
        <v>0.33634714315870401</v>
      </c>
      <c r="M123" s="57">
        <v>0.30149864076682598</v>
      </c>
      <c r="N123" s="57">
        <v>0.285961358275445</v>
      </c>
      <c r="O123" s="57">
        <v>0.21712248167074899</v>
      </c>
      <c r="P123" s="57">
        <v>0.27034524390333697</v>
      </c>
      <c r="Q123" s="57">
        <v>0.28916613240103001</v>
      </c>
      <c r="R123" s="57">
        <v>0.188224979342622</v>
      </c>
      <c r="S123" s="57">
        <v>8.9048814735165793E-2</v>
      </c>
      <c r="T123" s="57"/>
    </row>
    <row r="124" spans="1:20" x14ac:dyDescent="0.25">
      <c r="A124" s="51" t="s">
        <v>211</v>
      </c>
      <c r="B124" s="57">
        <v>7.0679483489628199</v>
      </c>
      <c r="C124" s="57">
        <v>6.83587631433093</v>
      </c>
      <c r="D124" s="57">
        <v>6.8448924997522997</v>
      </c>
      <c r="E124" s="57">
        <v>7.1009293346151701</v>
      </c>
      <c r="F124" s="57">
        <v>7.1566587753695297</v>
      </c>
      <c r="G124" s="57">
        <v>7.4444108974690204</v>
      </c>
      <c r="H124" s="57">
        <v>7.4107602529905803</v>
      </c>
      <c r="I124" s="57">
        <v>7.8030067609746201</v>
      </c>
      <c r="J124" s="57">
        <v>8.1478955901599495</v>
      </c>
      <c r="K124" s="57">
        <v>7.8971463220853098</v>
      </c>
      <c r="L124" s="57">
        <v>7.6867708377205899</v>
      </c>
      <c r="M124" s="57">
        <v>7.7013774524815997</v>
      </c>
      <c r="N124" s="57">
        <v>7.7006908661975801</v>
      </c>
      <c r="O124" s="57">
        <v>5.5006989799897301</v>
      </c>
      <c r="P124" s="57">
        <v>5.2808268949109101</v>
      </c>
      <c r="Q124" s="57">
        <v>5.1440909833836699</v>
      </c>
      <c r="R124" s="57">
        <v>3.2687219716581999</v>
      </c>
      <c r="S124" s="57">
        <v>2.9696898806850101</v>
      </c>
      <c r="T124" s="57">
        <v>2.73747551124753</v>
      </c>
    </row>
    <row r="125" spans="1:20" x14ac:dyDescent="0.25">
      <c r="A125" s="51" t="s">
        <v>212</v>
      </c>
      <c r="B125" s="57">
        <v>0.17413249248047699</v>
      </c>
      <c r="C125" s="57">
        <v>0.20972653132080901</v>
      </c>
      <c r="D125" s="57">
        <v>0.28159347618587599</v>
      </c>
      <c r="E125" s="57">
        <v>0.421418813995521</v>
      </c>
      <c r="F125" s="57">
        <v>0.47878547449066799</v>
      </c>
      <c r="G125" s="57">
        <v>0.50386024152153297</v>
      </c>
      <c r="H125" s="57">
        <v>0.496929399684437</v>
      </c>
      <c r="I125" s="57">
        <v>0.56365028890602298</v>
      </c>
      <c r="J125" s="58">
        <v>0.54265957620284999</v>
      </c>
      <c r="K125" s="58">
        <v>0.54798344434291402</v>
      </c>
      <c r="L125" s="58">
        <v>0.55166885344856698</v>
      </c>
      <c r="M125" s="57">
        <v>0.77757865522226799</v>
      </c>
      <c r="N125" s="57">
        <v>0.53347152188949098</v>
      </c>
      <c r="O125" s="57"/>
      <c r="P125" s="57"/>
      <c r="Q125" s="57"/>
      <c r="R125" s="57"/>
      <c r="S125" s="57"/>
      <c r="T125" s="57">
        <v>0.65563788990211602</v>
      </c>
    </row>
    <row r="126" spans="1:20" x14ac:dyDescent="0.25">
      <c r="A126" s="51" t="s">
        <v>213</v>
      </c>
      <c r="B126" s="57">
        <v>0.84352583895655497</v>
      </c>
      <c r="C126" s="57">
        <v>1.13227943826793</v>
      </c>
      <c r="D126" s="57">
        <v>1.03065977019058</v>
      </c>
      <c r="E126" s="57">
        <v>0.82973754486928097</v>
      </c>
      <c r="F126" s="57">
        <v>0.91453557661875395</v>
      </c>
      <c r="G126" s="57">
        <v>0.63023212404038698</v>
      </c>
      <c r="H126" s="57">
        <v>0.41977342017105201</v>
      </c>
      <c r="I126" s="57">
        <v>0.23732378928848899</v>
      </c>
      <c r="J126" s="57">
        <v>0.19913731521394401</v>
      </c>
      <c r="K126" s="57">
        <v>9.8597655587775598E-2</v>
      </c>
      <c r="L126" s="57">
        <v>9.8155533979688403E-2</v>
      </c>
      <c r="M126" s="57">
        <v>7.9057549565424698E-2</v>
      </c>
      <c r="N126" s="57">
        <v>6.9583427602921397E-2</v>
      </c>
      <c r="O126" s="57">
        <v>6.8552675651806297E-2</v>
      </c>
      <c r="P126" s="57">
        <v>5.1150999891205001E-2</v>
      </c>
      <c r="Q126" s="57">
        <v>5.0015378545470397E-2</v>
      </c>
      <c r="R126" s="57">
        <v>4.8682262202604701E-2</v>
      </c>
      <c r="S126" s="57">
        <v>4.3466551888727299E-2</v>
      </c>
      <c r="T126" s="57">
        <v>4.9135313746274403E-2</v>
      </c>
    </row>
    <row r="127" spans="1:20" x14ac:dyDescent="0.25">
      <c r="A127" s="51" t="s">
        <v>214</v>
      </c>
      <c r="B127" s="58">
        <v>0.26065411692359902</v>
      </c>
      <c r="C127" s="58">
        <v>0.25122466918285602</v>
      </c>
      <c r="D127" s="57">
        <v>0.24212735314478101</v>
      </c>
      <c r="E127" s="57">
        <v>0.17104793840315899</v>
      </c>
      <c r="F127" s="57">
        <v>0.33250063217961201</v>
      </c>
      <c r="G127" s="57">
        <v>0.38443223892331801</v>
      </c>
      <c r="H127" s="57">
        <v>0.36790223471691602</v>
      </c>
      <c r="I127" s="57">
        <v>0.40963440016672398</v>
      </c>
      <c r="J127" s="57">
        <v>0.40869566785116102</v>
      </c>
      <c r="K127" s="57">
        <v>0.43654254991989699</v>
      </c>
      <c r="L127" s="57">
        <v>0.14590178609628099</v>
      </c>
      <c r="M127" s="57">
        <v>0.11244898245123</v>
      </c>
      <c r="N127" s="57">
        <v>0.101073097493374</v>
      </c>
      <c r="O127" s="57">
        <v>0.10377966168470899</v>
      </c>
      <c r="P127" s="57">
        <v>8.9174296731953401E-2</v>
      </c>
      <c r="Q127" s="57">
        <v>8.9324549204157402E-2</v>
      </c>
      <c r="R127" s="57">
        <v>8.9051055539165799E-2</v>
      </c>
      <c r="S127" s="57">
        <v>7.5649969269718106E-2</v>
      </c>
      <c r="T127" s="57">
        <v>5.9916280595660003E-2</v>
      </c>
    </row>
    <row r="128" spans="1:20" x14ac:dyDescent="0.25">
      <c r="A128" s="51" t="s">
        <v>215</v>
      </c>
      <c r="B128" s="58">
        <v>4.3999282351412701</v>
      </c>
      <c r="C128" s="57">
        <v>4.5840930221325999</v>
      </c>
      <c r="D128" s="57">
        <v>4.5103123158515004</v>
      </c>
      <c r="E128" s="57">
        <v>4.3977605542225504</v>
      </c>
      <c r="F128" s="57">
        <v>4.3260445424030003</v>
      </c>
      <c r="G128" s="57">
        <v>4.2925820398015402</v>
      </c>
      <c r="H128" s="57">
        <v>4.2876611239489604</v>
      </c>
      <c r="I128" s="57">
        <v>4.2414708692507901</v>
      </c>
      <c r="J128" s="57">
        <v>3.6117381489842</v>
      </c>
      <c r="K128" s="58">
        <v>3.4558640422428599</v>
      </c>
      <c r="L128" s="57">
        <v>3.2158209804734099</v>
      </c>
      <c r="M128" s="57">
        <v>2.8145849800431</v>
      </c>
      <c r="N128" s="57">
        <v>2.6907281248490098</v>
      </c>
      <c r="O128" s="57">
        <v>2.5210883641709501</v>
      </c>
      <c r="P128" s="57">
        <v>2.2418834820424398</v>
      </c>
      <c r="Q128" s="57">
        <v>1.28314208844022</v>
      </c>
      <c r="R128" s="57">
        <v>1.17993701596226</v>
      </c>
      <c r="S128" s="57">
        <v>1.10514571043503</v>
      </c>
      <c r="T128" s="57">
        <v>0.84765951548700302</v>
      </c>
    </row>
    <row r="129" spans="1:20" x14ac:dyDescent="0.25">
      <c r="A129" s="51" t="s">
        <v>216</v>
      </c>
      <c r="B129" s="57">
        <v>2.3729488178155802</v>
      </c>
      <c r="C129" s="57">
        <v>2.4571364373195599</v>
      </c>
      <c r="D129" s="57">
        <v>2.2861523843313298</v>
      </c>
      <c r="E129" s="57">
        <v>1.97321610937509</v>
      </c>
      <c r="F129" s="57">
        <v>2.2597001683257298</v>
      </c>
      <c r="G129" s="57">
        <v>2.70554670433012</v>
      </c>
      <c r="H129" s="57">
        <v>2.6731133058623699</v>
      </c>
      <c r="I129" s="57">
        <v>2.5545180701393901</v>
      </c>
      <c r="J129" s="57">
        <v>2.5069052981328901</v>
      </c>
      <c r="K129" s="57">
        <v>2.2042308626662002</v>
      </c>
      <c r="L129" s="57">
        <v>2.05723422568843</v>
      </c>
      <c r="M129" s="57">
        <v>1.9018430982935901</v>
      </c>
      <c r="N129" s="57">
        <v>1.87809991882392</v>
      </c>
      <c r="O129" s="57">
        <v>1.8991676646036799</v>
      </c>
      <c r="P129" s="57">
        <v>1.2694489706487899</v>
      </c>
      <c r="Q129" s="57">
        <v>1.36262443178566</v>
      </c>
      <c r="R129" s="57">
        <v>1.5181581740338601</v>
      </c>
      <c r="S129" s="57">
        <v>1.6828750022024099</v>
      </c>
      <c r="T129" s="57">
        <v>2.2073814886544798</v>
      </c>
    </row>
    <row r="130" spans="1:20" x14ac:dyDescent="0.25">
      <c r="A130" s="51" t="s">
        <v>217</v>
      </c>
      <c r="B130" s="57">
        <v>23.977774292563801</v>
      </c>
      <c r="C130" s="57">
        <v>22.881834176136699</v>
      </c>
      <c r="D130" s="57">
        <v>24.841474614072698</v>
      </c>
      <c r="E130" s="57">
        <v>24.119636509016999</v>
      </c>
      <c r="F130" s="57">
        <v>27.852779083180199</v>
      </c>
      <c r="G130" s="57">
        <v>23.212349032862701</v>
      </c>
      <c r="H130" s="57">
        <v>28.768139841688701</v>
      </c>
      <c r="I130" s="57">
        <v>21.044171865425</v>
      </c>
      <c r="J130" s="57">
        <v>21.306064078830101</v>
      </c>
      <c r="K130" s="57">
        <v>20.2648728190036</v>
      </c>
      <c r="L130" s="57">
        <v>19.902079641891302</v>
      </c>
      <c r="M130" s="57">
        <v>18.972691925952201</v>
      </c>
      <c r="N130" s="57">
        <v>17.479786883933599</v>
      </c>
      <c r="O130" s="57">
        <v>17.637343532684302</v>
      </c>
      <c r="P130" s="57">
        <v>17.103272418189501</v>
      </c>
      <c r="Q130" s="57">
        <v>15.696934932788</v>
      </c>
      <c r="R130" s="57">
        <v>15.2601494466895</v>
      </c>
      <c r="S130" s="57">
        <v>15.1582989436115</v>
      </c>
      <c r="T130" s="57">
        <v>14.414893201303601</v>
      </c>
    </row>
    <row r="131" spans="1:20" x14ac:dyDescent="0.25">
      <c r="A131" s="51" t="s">
        <v>218</v>
      </c>
      <c r="B131" s="58">
        <v>0.50529726019828003</v>
      </c>
      <c r="C131" s="58">
        <v>0.51560450360976495</v>
      </c>
      <c r="D131" s="58">
        <v>0.52701591414128102</v>
      </c>
      <c r="E131" s="58">
        <v>0.53437634548329804</v>
      </c>
      <c r="F131" s="58">
        <v>0.54164328628192604</v>
      </c>
      <c r="G131" s="57">
        <v>0.22498221836967</v>
      </c>
      <c r="H131" s="58">
        <v>0.25049900183975898</v>
      </c>
      <c r="I131" s="58">
        <v>0.27476385573065798</v>
      </c>
      <c r="J131" s="58">
        <v>0.23830620291683799</v>
      </c>
      <c r="K131" s="58">
        <v>0.239951660647273</v>
      </c>
      <c r="L131" s="58">
        <v>0.24155773478523701</v>
      </c>
      <c r="M131" s="58">
        <v>0.235936518087726</v>
      </c>
      <c r="N131" s="57">
        <v>0.230374185949099</v>
      </c>
      <c r="O131" s="57">
        <v>5.7607567770630801E-2</v>
      </c>
      <c r="P131" s="57">
        <v>6.15624099924586E-3</v>
      </c>
      <c r="Q131" s="57">
        <v>2.38860808350473E-3</v>
      </c>
      <c r="R131" s="57">
        <v>3.3232023019785302E-3</v>
      </c>
      <c r="S131" s="58">
        <v>3.2500455791708099E-3</v>
      </c>
      <c r="T131" s="57"/>
    </row>
    <row r="132" spans="1:20" x14ac:dyDescent="0.25">
      <c r="A132" s="51" t="s">
        <v>219</v>
      </c>
      <c r="B132" s="58">
        <v>9.8929010615127293</v>
      </c>
      <c r="C132" s="58">
        <v>9.7783369614916893</v>
      </c>
      <c r="D132" s="58">
        <v>9.6618579297610996</v>
      </c>
      <c r="E132" s="58">
        <v>9.5373926341474409</v>
      </c>
      <c r="F132" s="58">
        <v>9.4106701224523803</v>
      </c>
      <c r="G132" s="58">
        <v>9.2866331648652896</v>
      </c>
      <c r="H132" s="58">
        <v>9.1593192252015996</v>
      </c>
      <c r="I132" s="58">
        <v>9.0122139391375704</v>
      </c>
      <c r="J132" s="57">
        <v>7.0879072655428699</v>
      </c>
      <c r="K132" s="57">
        <v>6.5613465768170798</v>
      </c>
      <c r="L132" s="57">
        <v>7.2827880955307798</v>
      </c>
      <c r="M132" s="57">
        <v>7.89885690860552</v>
      </c>
      <c r="N132" s="57">
        <v>8.3457282552619496</v>
      </c>
      <c r="O132" s="57">
        <v>5.7076756742074997</v>
      </c>
      <c r="P132" s="57">
        <v>3.3978886815667302</v>
      </c>
      <c r="Q132" s="57">
        <v>3.4655209477315601</v>
      </c>
      <c r="R132" s="57">
        <v>2.39370519000635</v>
      </c>
      <c r="S132" s="57">
        <v>2.0994283118149402</v>
      </c>
      <c r="T132" s="57">
        <v>2.1406011201855599</v>
      </c>
    </row>
    <row r="133" spans="1:20" x14ac:dyDescent="0.25">
      <c r="A133" s="51" t="s">
        <v>220</v>
      </c>
      <c r="B133" s="57"/>
      <c r="C133" s="57"/>
      <c r="D133" s="57"/>
      <c r="E133" s="57"/>
      <c r="F133" s="57"/>
      <c r="G133" s="57">
        <v>2.4625606136208501E-2</v>
      </c>
      <c r="H133" s="57">
        <v>2.1383910298773099E-2</v>
      </c>
      <c r="I133" s="57">
        <v>1.39453935576001E-3</v>
      </c>
      <c r="J133" s="57">
        <v>0</v>
      </c>
      <c r="K133" s="57">
        <v>0</v>
      </c>
      <c r="L133" s="58">
        <v>0</v>
      </c>
      <c r="M133" s="57">
        <v>0</v>
      </c>
      <c r="N133" s="57">
        <v>0</v>
      </c>
      <c r="O133" s="57">
        <v>0</v>
      </c>
      <c r="P133" s="57"/>
      <c r="Q133" s="57"/>
      <c r="R133" s="57"/>
      <c r="S133" s="57">
        <v>0</v>
      </c>
      <c r="T133" s="57">
        <v>0</v>
      </c>
    </row>
    <row r="134" spans="1:20" x14ac:dyDescent="0.25">
      <c r="A134" s="51" t="s">
        <v>221</v>
      </c>
      <c r="B134" s="57">
        <v>0.39395564441251102</v>
      </c>
      <c r="C134" s="57">
        <v>0.37721893454412703</v>
      </c>
      <c r="D134" s="57">
        <v>0.39403157368973701</v>
      </c>
      <c r="E134" s="57">
        <v>0.29083129609622799</v>
      </c>
      <c r="F134" s="57">
        <v>0.39630121312329503</v>
      </c>
      <c r="G134" s="57">
        <v>0.38989476141374602</v>
      </c>
      <c r="H134" s="57">
        <v>0.34991356713638899</v>
      </c>
      <c r="I134" s="57">
        <v>0.37228444307098402</v>
      </c>
      <c r="J134" s="57">
        <v>0.33794561574146298</v>
      </c>
      <c r="K134" s="57">
        <v>0.30043586377306802</v>
      </c>
      <c r="L134" s="57">
        <v>0.27454125127482298</v>
      </c>
      <c r="M134" s="57">
        <v>0.240779148147129</v>
      </c>
      <c r="N134" s="57">
        <v>0.22836909278206399</v>
      </c>
      <c r="O134" s="57">
        <v>0.216302533839382</v>
      </c>
      <c r="P134" s="57">
        <v>0.128919544608878</v>
      </c>
      <c r="Q134" s="57">
        <v>0.118854640720277</v>
      </c>
      <c r="R134" s="57">
        <v>0.114329984021114</v>
      </c>
      <c r="S134" s="57">
        <v>0.13088180596865001</v>
      </c>
      <c r="T134" s="57">
        <v>0.113681659470021</v>
      </c>
    </row>
    <row r="135" spans="1:20" x14ac:dyDescent="0.25">
      <c r="A135" s="51" t="s">
        <v>222</v>
      </c>
      <c r="B135" s="57">
        <v>1.0750208182518299</v>
      </c>
      <c r="C135" s="57">
        <v>1.3651893599846101</v>
      </c>
      <c r="D135" s="57">
        <v>1.6075867792740699</v>
      </c>
      <c r="E135" s="57">
        <v>2.2126418553413099</v>
      </c>
      <c r="F135" s="57">
        <v>2.72766609202113</v>
      </c>
      <c r="G135" s="57">
        <v>0.89135087685422698</v>
      </c>
      <c r="H135" s="57">
        <v>0.87144114183036003</v>
      </c>
      <c r="I135" s="57">
        <v>0.86737487494254095</v>
      </c>
      <c r="J135" s="57">
        <v>0.85838306035515799</v>
      </c>
      <c r="K135" s="57">
        <v>0.71343401427911901</v>
      </c>
      <c r="L135" s="57">
        <v>0.68757222020319197</v>
      </c>
      <c r="M135" s="57">
        <v>0.43033540761862998</v>
      </c>
      <c r="N135" s="57">
        <v>0.44818632914408801</v>
      </c>
      <c r="O135" s="57">
        <v>0.45637502303609601</v>
      </c>
      <c r="P135" s="57">
        <v>0.51523868176410703</v>
      </c>
      <c r="Q135" s="57">
        <v>0.53633796708544201</v>
      </c>
      <c r="R135" s="57">
        <v>0.61350163132256497</v>
      </c>
      <c r="S135" s="57">
        <v>0.72183598691183404</v>
      </c>
      <c r="T135" s="57">
        <v>0.71489242059912494</v>
      </c>
    </row>
    <row r="136" spans="1:20" x14ac:dyDescent="0.25">
      <c r="A136" s="51" t="s">
        <v>223</v>
      </c>
      <c r="B136" s="57">
        <v>0.31295674839966098</v>
      </c>
      <c r="C136" s="57">
        <v>0.37556431455536099</v>
      </c>
      <c r="D136" s="57">
        <v>0.55908540765773096</v>
      </c>
      <c r="E136" s="57">
        <v>0.55168129016164702</v>
      </c>
      <c r="F136" s="57">
        <v>0.74252608433948897</v>
      </c>
      <c r="G136" s="57">
        <v>1.0098978098782501</v>
      </c>
      <c r="H136" s="57">
        <v>1.3936602279335699</v>
      </c>
      <c r="I136" s="57">
        <v>0.91723791390609899</v>
      </c>
      <c r="J136" s="57">
        <v>0.77211895664611696</v>
      </c>
      <c r="K136" s="57">
        <v>0.89143342539864601</v>
      </c>
      <c r="L136" s="57">
        <v>0.87609467538234498</v>
      </c>
      <c r="M136" s="57">
        <v>0.94910064013770201</v>
      </c>
      <c r="N136" s="57">
        <v>0.65281993941467797</v>
      </c>
      <c r="O136" s="57">
        <v>0.19743620667658501</v>
      </c>
      <c r="P136" s="57">
        <v>0.19932726408829901</v>
      </c>
      <c r="Q136" s="57">
        <v>0.20418311996234001</v>
      </c>
      <c r="R136" s="57">
        <v>0.22889102878116399</v>
      </c>
      <c r="S136" s="57">
        <v>0.24720836695096701</v>
      </c>
      <c r="T136" s="57">
        <v>0.26952766388264598</v>
      </c>
    </row>
    <row r="137" spans="1:20" x14ac:dyDescent="0.25">
      <c r="A137" s="51" t="s">
        <v>224</v>
      </c>
      <c r="B137" s="57">
        <v>0.80780324365450096</v>
      </c>
      <c r="C137" s="57">
        <v>0.77024272864795595</v>
      </c>
      <c r="D137" s="57">
        <v>0.73050838892056802</v>
      </c>
      <c r="E137" s="57">
        <v>0.69578178071600105</v>
      </c>
      <c r="F137" s="57">
        <v>0.66966934756292096</v>
      </c>
      <c r="G137" s="57">
        <v>0.84771188393418895</v>
      </c>
      <c r="H137" s="57">
        <v>0.59376791305265697</v>
      </c>
      <c r="I137" s="57">
        <v>0.55346689930398596</v>
      </c>
      <c r="J137" s="57">
        <v>0.75175026009810897</v>
      </c>
      <c r="K137" s="57">
        <v>0.71983474375940304</v>
      </c>
      <c r="L137" s="57">
        <v>0.70836251940580397</v>
      </c>
      <c r="M137" s="57">
        <v>0.59952976226265597</v>
      </c>
      <c r="N137" s="57">
        <v>0.58163028945056905</v>
      </c>
      <c r="O137" s="57">
        <v>0.55884282081093595</v>
      </c>
      <c r="P137" s="57">
        <v>0.52241461103772202</v>
      </c>
      <c r="Q137" s="57">
        <v>0.37694795663765801</v>
      </c>
      <c r="R137" s="57">
        <v>0.33622893990886499</v>
      </c>
      <c r="S137" s="57">
        <v>0.47776656684003099</v>
      </c>
      <c r="T137" s="57">
        <v>0.39212573462655398</v>
      </c>
    </row>
    <row r="138" spans="1:20" x14ac:dyDescent="0.25">
      <c r="A138" s="51" t="s">
        <v>225</v>
      </c>
      <c r="B138" s="57">
        <v>2.6274825704982399</v>
      </c>
      <c r="C138" s="57">
        <v>2.65550160666232</v>
      </c>
      <c r="D138" s="57">
        <v>2.69445827252579</v>
      </c>
      <c r="E138" s="57">
        <v>2.68536151563656</v>
      </c>
      <c r="F138" s="57">
        <v>2.9302454045145701</v>
      </c>
      <c r="G138" s="57">
        <v>2.8375595251108301</v>
      </c>
      <c r="H138" s="57">
        <v>2.6185281165192098</v>
      </c>
      <c r="I138" s="57">
        <v>2.1830399973599399</v>
      </c>
      <c r="J138" s="57">
        <v>2.1704450353536999</v>
      </c>
      <c r="K138" s="57">
        <v>2.3190446584759301</v>
      </c>
      <c r="L138" s="57">
        <v>2.3175338476324701</v>
      </c>
      <c r="M138" s="57">
        <v>2.0939304372911902</v>
      </c>
      <c r="N138" s="57">
        <v>1.7832933062804699</v>
      </c>
      <c r="O138" s="57">
        <v>1.7882194841554599</v>
      </c>
      <c r="P138" s="57">
        <v>1.7400798671081701</v>
      </c>
      <c r="Q138" s="57">
        <v>1.6234225428817399</v>
      </c>
      <c r="R138" s="57">
        <v>1.5409113381413599</v>
      </c>
      <c r="S138" s="57">
        <v>1.8129503064772401</v>
      </c>
      <c r="T138" s="57">
        <v>1.8949169142164299</v>
      </c>
    </row>
    <row r="139" spans="1:20" x14ac:dyDescent="0.25">
      <c r="A139" s="9" t="s">
        <v>36</v>
      </c>
      <c r="B139" s="11"/>
      <c r="C139" s="11"/>
      <c r="D139" s="11"/>
      <c r="E139" s="11"/>
      <c r="F139" s="11"/>
      <c r="G139" s="11"/>
      <c r="H139" s="11"/>
      <c r="I139" s="11"/>
      <c r="J139" s="11"/>
      <c r="K139" s="11"/>
      <c r="L139" s="11"/>
      <c r="M139" s="11"/>
      <c r="N139" s="11"/>
      <c r="O139" s="11"/>
      <c r="P139" s="11"/>
      <c r="Q139" s="11"/>
      <c r="R139" s="11"/>
      <c r="S139" s="11"/>
      <c r="T139" s="11"/>
    </row>
    <row r="140" spans="1:20" s="50" customFormat="1" x14ac:dyDescent="0.25">
      <c r="A140" s="51" t="s">
        <v>183</v>
      </c>
      <c r="B140" s="57">
        <v>8.3515865115635108</v>
      </c>
      <c r="C140" s="57">
        <v>15.2614410221311</v>
      </c>
      <c r="D140" s="57">
        <v>23.8781501760396</v>
      </c>
      <c r="E140" s="57">
        <v>31.3891482115081</v>
      </c>
      <c r="F140" s="57">
        <v>36.178912005934698</v>
      </c>
      <c r="G140" s="58">
        <v>40.366755277191402</v>
      </c>
      <c r="H140" s="57">
        <v>49.8515258181069</v>
      </c>
      <c r="I140" s="57">
        <v>50.7801125088641</v>
      </c>
      <c r="J140" s="57">
        <v>50.773488264371302</v>
      </c>
      <c r="K140" s="57">
        <v>51.7384393645114</v>
      </c>
      <c r="L140" s="57">
        <v>49.309722301438498</v>
      </c>
      <c r="M140" s="57">
        <v>44.550227237915699</v>
      </c>
      <c r="N140" s="57">
        <v>44.068208863291801</v>
      </c>
      <c r="O140" s="57">
        <v>42.4588784507729</v>
      </c>
      <c r="P140" s="57">
        <v>45.8065312825399</v>
      </c>
      <c r="Q140" s="57">
        <v>43.780431705569796</v>
      </c>
      <c r="R140" s="57">
        <v>44.386868934125701</v>
      </c>
      <c r="S140" s="57">
        <v>66.600807312377896</v>
      </c>
      <c r="T140" s="57">
        <v>70.051958772357096</v>
      </c>
    </row>
    <row r="141" spans="1:20" s="50" customFormat="1" x14ac:dyDescent="0.25">
      <c r="A141" s="51" t="s">
        <v>184</v>
      </c>
      <c r="B141" s="57">
        <v>7.0763922382527502</v>
      </c>
      <c r="C141" s="57">
        <v>12.144226515263201</v>
      </c>
      <c r="D141" s="57">
        <v>22.9147096667411</v>
      </c>
      <c r="E141" s="57">
        <v>39.284600495900399</v>
      </c>
      <c r="F141" s="57">
        <v>52.9301199452375</v>
      </c>
      <c r="G141" s="57">
        <v>72.211539207412798</v>
      </c>
      <c r="H141" s="57">
        <v>76.931801395792206</v>
      </c>
      <c r="I141" s="57">
        <v>80.862890553131393</v>
      </c>
      <c r="J141" s="57">
        <v>89.901916492495801</v>
      </c>
      <c r="K141" s="57">
        <v>78.517034082671202</v>
      </c>
      <c r="L141" s="57">
        <v>82.019334932474607</v>
      </c>
      <c r="M141" s="57">
        <v>76.0182091705462</v>
      </c>
      <c r="N141" s="57">
        <v>72.867145412956006</v>
      </c>
      <c r="O141" s="57">
        <v>76.408034112263806</v>
      </c>
      <c r="P141" s="57">
        <v>81.323534553780604</v>
      </c>
      <c r="Q141" s="57">
        <v>85.239073802335696</v>
      </c>
      <c r="R141" s="57">
        <v>94.918259828945907</v>
      </c>
      <c r="S141" s="57">
        <v>105.745019386968</v>
      </c>
      <c r="T141" s="57">
        <v>116.036046685168</v>
      </c>
    </row>
    <row r="142" spans="1:20" s="50" customFormat="1" x14ac:dyDescent="0.25">
      <c r="A142" s="51" t="s">
        <v>185</v>
      </c>
      <c r="B142" s="57">
        <v>30.642374463075502</v>
      </c>
      <c r="C142" s="57">
        <v>43.908400888549401</v>
      </c>
      <c r="D142" s="57">
        <v>60.263729455980801</v>
      </c>
      <c r="E142" s="57">
        <v>76.195582496141</v>
      </c>
      <c r="F142" s="57">
        <v>94.144090968230302</v>
      </c>
      <c r="G142" s="57">
        <v>116.2460387062</v>
      </c>
      <c r="H142" s="57">
        <v>139.87046276045501</v>
      </c>
      <c r="I142" s="57">
        <v>146.149158429435</v>
      </c>
      <c r="J142" s="57">
        <v>151.67068252080401</v>
      </c>
      <c r="K142" s="57">
        <v>157.01832007086401</v>
      </c>
      <c r="L142" s="57">
        <v>157.73474281217099</v>
      </c>
      <c r="M142" s="57">
        <v>147.172960511479</v>
      </c>
      <c r="N142" s="57">
        <v>142.962095019868</v>
      </c>
      <c r="O142" s="57">
        <v>147.06483856361999</v>
      </c>
      <c r="P142" s="57">
        <v>160.66152019460699</v>
      </c>
      <c r="Q142" s="57">
        <v>161.858815314634</v>
      </c>
      <c r="R142" s="57">
        <v>173.25235140068</v>
      </c>
      <c r="S142" s="57">
        <v>178.205018910673</v>
      </c>
      <c r="T142" s="57">
        <v>179.02730537801901</v>
      </c>
    </row>
    <row r="143" spans="1:20" s="50" customFormat="1" x14ac:dyDescent="0.25">
      <c r="A143" s="51" t="s">
        <v>186</v>
      </c>
      <c r="B143" s="57">
        <v>4.5474332949831098</v>
      </c>
      <c r="C143" s="57">
        <v>7.0726709539856296</v>
      </c>
      <c r="D143" s="57">
        <v>12.5404933901545</v>
      </c>
      <c r="E143" s="57">
        <v>19.819973570746999</v>
      </c>
      <c r="F143" s="57">
        <v>24.3386946942171</v>
      </c>
      <c r="G143" s="57">
        <v>35.284831117340701</v>
      </c>
      <c r="H143" s="57">
        <v>46.105764117770903</v>
      </c>
      <c r="I143" s="57">
        <v>58.094213077151601</v>
      </c>
      <c r="J143" s="57">
        <v>63.524307350002502</v>
      </c>
      <c r="K143" s="57">
        <v>68.539552540801907</v>
      </c>
      <c r="L143" s="57">
        <v>76.937329260299805</v>
      </c>
      <c r="M143" s="57">
        <v>79.669794282408901</v>
      </c>
      <c r="N143" s="57">
        <v>90.208142419123106</v>
      </c>
      <c r="O143" s="57">
        <v>94.621961487185203</v>
      </c>
      <c r="P143" s="57">
        <v>97.149864669091897</v>
      </c>
      <c r="Q143" s="57">
        <v>102.972844247019</v>
      </c>
      <c r="R143" s="57">
        <v>112.198419449151</v>
      </c>
      <c r="S143" s="58">
        <v>119.462635408941</v>
      </c>
      <c r="T143" s="57"/>
    </row>
    <row r="144" spans="1:20" s="50" customFormat="1" x14ac:dyDescent="0.25">
      <c r="A144" s="51" t="s">
        <v>187</v>
      </c>
      <c r="B144" s="57">
        <v>2.0165278842971701</v>
      </c>
      <c r="C144" s="58">
        <v>2.54273479009152</v>
      </c>
      <c r="D144" s="57">
        <v>3.30806380985543</v>
      </c>
      <c r="E144" s="57">
        <v>5.6501823437797798</v>
      </c>
      <c r="F144" s="57">
        <v>10.2904048729688</v>
      </c>
      <c r="G144" s="58">
        <v>17.8962195049637</v>
      </c>
      <c r="H144" s="58">
        <v>19.701485226659301</v>
      </c>
      <c r="I144" s="57">
        <v>22.3127768088819</v>
      </c>
      <c r="J144" s="57">
        <v>24.3006814319026</v>
      </c>
      <c r="K144" s="57">
        <v>29.567783062347999</v>
      </c>
      <c r="L144" s="57">
        <v>45.237925409908797</v>
      </c>
      <c r="M144" s="57">
        <v>47.669730487725801</v>
      </c>
      <c r="N144" s="57">
        <v>51.453328051801201</v>
      </c>
      <c r="O144" s="57">
        <v>53.273694234958398</v>
      </c>
      <c r="P144" s="57">
        <v>53.299550497840301</v>
      </c>
      <c r="Q144" s="57">
        <v>52.5571219738138</v>
      </c>
      <c r="R144" s="57">
        <v>59.700785493418998</v>
      </c>
      <c r="S144" s="57">
        <v>56.259991200424402</v>
      </c>
      <c r="T144" s="57">
        <v>63.163136575976402</v>
      </c>
    </row>
    <row r="145" spans="1:20" s="50" customFormat="1" x14ac:dyDescent="0.25">
      <c r="A145" s="51" t="s">
        <v>189</v>
      </c>
      <c r="B145" s="57">
        <v>16.8456963812704</v>
      </c>
      <c r="C145" s="57">
        <v>22.182960825548999</v>
      </c>
      <c r="D145" s="58">
        <v>30.676152280376499</v>
      </c>
      <c r="E145" s="57">
        <v>55.383909604970498</v>
      </c>
      <c r="F145" s="57">
        <v>57.418980086576703</v>
      </c>
      <c r="G145" s="57">
        <v>72.946777458688402</v>
      </c>
      <c r="H145" s="57">
        <v>77.511257275925004</v>
      </c>
      <c r="I145" s="57">
        <v>83.075660946762895</v>
      </c>
      <c r="J145" s="57">
        <v>97.507540631558399</v>
      </c>
      <c r="K145" s="57">
        <v>119.724160007495</v>
      </c>
      <c r="L145" s="57">
        <v>119.335511344785</v>
      </c>
      <c r="M145" s="57">
        <v>117.442454843782</v>
      </c>
      <c r="N145" s="57">
        <v>119.37363153718201</v>
      </c>
      <c r="O145" s="57">
        <v>118.87615281984399</v>
      </c>
      <c r="P145" s="57">
        <v>115.867801067488</v>
      </c>
      <c r="Q145" s="57">
        <v>105.838590655535</v>
      </c>
      <c r="R145" s="57">
        <v>114.230551109167</v>
      </c>
      <c r="S145" s="57">
        <v>113.24736743878201</v>
      </c>
      <c r="T145" s="57">
        <v>113.022968194497</v>
      </c>
    </row>
    <row r="146" spans="1:20" s="50" customFormat="1" x14ac:dyDescent="0.25">
      <c r="A146" s="51" t="s">
        <v>188</v>
      </c>
      <c r="B146" s="57">
        <v>13.192161406590399</v>
      </c>
      <c r="C146" s="57">
        <v>17.868223796747301</v>
      </c>
      <c r="D146" s="58">
        <v>25.1303387011205</v>
      </c>
      <c r="E146" s="57">
        <v>33.1693465336812</v>
      </c>
      <c r="F146" s="57">
        <v>41.8757501710529</v>
      </c>
      <c r="G146" s="57">
        <v>43.912055206648198</v>
      </c>
      <c r="H146" s="57">
        <v>51.831042080031999</v>
      </c>
      <c r="I146" s="57">
        <v>62.990652022926596</v>
      </c>
      <c r="J146" s="57">
        <v>73.191247551206501</v>
      </c>
      <c r="K146" s="57">
        <v>77.239989332677197</v>
      </c>
      <c r="L146" s="57">
        <v>79.780067260561196</v>
      </c>
      <c r="M146" s="57">
        <v>79.804615479530497</v>
      </c>
      <c r="N146" s="57">
        <v>83.450292041382795</v>
      </c>
      <c r="O146" s="57">
        <v>74.399544665580606</v>
      </c>
      <c r="P146" s="57">
        <v>83.904400105151296</v>
      </c>
      <c r="Q146" s="57">
        <v>85.272163988267593</v>
      </c>
      <c r="R146" s="57">
        <v>80.808101336027804</v>
      </c>
      <c r="S146" s="57">
        <v>89.827419045306698</v>
      </c>
      <c r="T146" s="57">
        <v>96.481732590219593</v>
      </c>
    </row>
    <row r="147" spans="1:20" s="50" customFormat="1" x14ac:dyDescent="0.25">
      <c r="A147" s="51" t="s">
        <v>190</v>
      </c>
      <c r="B147" s="57">
        <v>2.3316491054628199</v>
      </c>
      <c r="C147" s="58">
        <v>2.5128044519584898</v>
      </c>
      <c r="D147" s="58">
        <v>7.6185866625436702</v>
      </c>
      <c r="E147" s="58">
        <v>12.5027857083947</v>
      </c>
      <c r="F147" s="57">
        <v>19.0689343696367</v>
      </c>
      <c r="G147" s="57">
        <v>21.7946380977499</v>
      </c>
      <c r="H147" s="57">
        <v>21.740184765853201</v>
      </c>
      <c r="I147" s="57">
        <v>24.791838724677099</v>
      </c>
      <c r="J147" s="58">
        <v>29.301534394030401</v>
      </c>
      <c r="K147" s="57">
        <v>24.996203913235501</v>
      </c>
      <c r="L147" s="57">
        <v>26.839665436824401</v>
      </c>
      <c r="M147" s="57">
        <v>26.483564904830899</v>
      </c>
      <c r="N147" s="57">
        <v>24.520419375276301</v>
      </c>
      <c r="O147" s="57">
        <v>26.221581062165299</v>
      </c>
      <c r="P147" s="57">
        <v>32.262685948984199</v>
      </c>
      <c r="Q147" s="58">
        <v>36.426009643044999</v>
      </c>
      <c r="R147" s="58">
        <v>35.816983235852199</v>
      </c>
      <c r="S147" s="58">
        <v>38.821790103998801</v>
      </c>
      <c r="T147" s="57"/>
    </row>
    <row r="148" spans="1:20" s="50" customFormat="1" x14ac:dyDescent="0.25">
      <c r="A148" s="51" t="s">
        <v>191</v>
      </c>
      <c r="B148" s="57">
        <v>2.0332894013724898</v>
      </c>
      <c r="C148" s="57">
        <v>4.35334898001424</v>
      </c>
      <c r="D148" s="58">
        <v>8.2871699727297194</v>
      </c>
      <c r="E148" s="57">
        <v>13.9417805187318</v>
      </c>
      <c r="F148" s="57">
        <v>19.180823817274199</v>
      </c>
      <c r="G148" s="57">
        <v>23.352580593417699</v>
      </c>
      <c r="H148" s="57">
        <v>28.7390189115685</v>
      </c>
      <c r="I148" s="57">
        <v>33.322857213361203</v>
      </c>
      <c r="J148" s="57">
        <v>33.3154384690936</v>
      </c>
      <c r="K148" s="57">
        <v>37.0123277165075</v>
      </c>
      <c r="L148" s="57">
        <v>37.315254128981103</v>
      </c>
      <c r="M148" s="57">
        <v>36.955583835687897</v>
      </c>
      <c r="N148" s="57">
        <v>40.764886663104797</v>
      </c>
      <c r="O148" s="57">
        <v>43.227905792400598</v>
      </c>
      <c r="P148" s="57">
        <v>45.937887674620796</v>
      </c>
      <c r="Q148" s="57">
        <v>50.434327397334997</v>
      </c>
      <c r="R148" s="57">
        <v>58.032317544161501</v>
      </c>
      <c r="S148" s="57">
        <v>65.437779553598503</v>
      </c>
      <c r="T148" s="57">
        <v>70.187396242385205</v>
      </c>
    </row>
    <row r="149" spans="1:20" s="50" customFormat="1" x14ac:dyDescent="0.25">
      <c r="A149" s="51" t="s">
        <v>192</v>
      </c>
      <c r="B149" s="57">
        <v>15.100991696499801</v>
      </c>
      <c r="C149" s="57">
        <v>23.9093357002081</v>
      </c>
      <c r="D149" s="58">
        <v>32.349042691367501</v>
      </c>
      <c r="E149" s="58">
        <v>43.928346473346302</v>
      </c>
      <c r="F149" s="57">
        <v>68.8659935406248</v>
      </c>
      <c r="G149" s="57">
        <v>83.337210266477499</v>
      </c>
      <c r="H149" s="57">
        <v>84.273093139632707</v>
      </c>
      <c r="I149" s="57">
        <v>90.352898986383096</v>
      </c>
      <c r="J149" s="57">
        <v>95.937142726553404</v>
      </c>
      <c r="K149" s="58">
        <v>99.079961735411601</v>
      </c>
      <c r="L149" s="58">
        <v>102.323043027664</v>
      </c>
      <c r="M149" s="57">
        <v>103.85758949292099</v>
      </c>
      <c r="N149" s="57">
        <v>94.486817537844701</v>
      </c>
      <c r="O149" s="57">
        <v>91.188991373156696</v>
      </c>
      <c r="P149" s="57">
        <v>91.065421252947303</v>
      </c>
      <c r="Q149" s="57">
        <v>97.656128998950294</v>
      </c>
      <c r="R149" s="57">
        <v>95.861499888920605</v>
      </c>
      <c r="S149" s="57">
        <v>93.625925916106794</v>
      </c>
      <c r="T149" s="57">
        <v>94.871536507633607</v>
      </c>
    </row>
    <row r="150" spans="1:20" s="50" customFormat="1" x14ac:dyDescent="0.25">
      <c r="A150" s="51" t="s">
        <v>193</v>
      </c>
      <c r="B150" s="57">
        <v>11.707122689745299</v>
      </c>
      <c r="C150" s="57">
        <v>19.786149688890799</v>
      </c>
      <c r="D150" s="57">
        <v>35.508843845227503</v>
      </c>
      <c r="E150" s="57">
        <v>48.567550378608502</v>
      </c>
      <c r="F150" s="57">
        <v>59.934284755754398</v>
      </c>
      <c r="G150" s="57">
        <v>69.365879189694596</v>
      </c>
      <c r="H150" s="57">
        <v>75.4688103733356</v>
      </c>
      <c r="I150" s="57">
        <v>77.127335580509893</v>
      </c>
      <c r="J150" s="57">
        <v>80.9986810652982</v>
      </c>
      <c r="K150" s="57">
        <v>90.121984010124194</v>
      </c>
      <c r="L150" s="57">
        <v>100.638777689061</v>
      </c>
      <c r="M150" s="57">
        <v>105.624772864173</v>
      </c>
      <c r="N150" s="57">
        <v>118.755063895419</v>
      </c>
      <c r="O150" s="57">
        <v>123.098008449044</v>
      </c>
      <c r="P150" s="57">
        <v>132.57401152179199</v>
      </c>
      <c r="Q150" s="57">
        <v>138.663750301785</v>
      </c>
      <c r="R150" s="57">
        <v>150.34379860873301</v>
      </c>
      <c r="S150" s="57">
        <v>161.23183344419601</v>
      </c>
      <c r="T150" s="57">
        <v>171.98894334128201</v>
      </c>
    </row>
    <row r="151" spans="1:20" s="50" customFormat="1" x14ac:dyDescent="0.25">
      <c r="A151" s="51" t="s">
        <v>249</v>
      </c>
      <c r="B151" s="57">
        <v>4.6721568244740004</v>
      </c>
      <c r="C151" s="57">
        <v>7.2843419255552497</v>
      </c>
      <c r="D151" s="57">
        <v>10.550955802635199</v>
      </c>
      <c r="E151" s="57">
        <v>15.4333274152911</v>
      </c>
      <c r="F151" s="57">
        <v>14.242231424167599</v>
      </c>
      <c r="G151" s="57">
        <v>17.240117043821801</v>
      </c>
      <c r="H151" s="57">
        <v>22.081904226281001</v>
      </c>
      <c r="I151" s="57">
        <v>27.428547917620701</v>
      </c>
      <c r="J151" s="57">
        <v>37.250462284334098</v>
      </c>
      <c r="K151" s="57">
        <v>47.3232446178692</v>
      </c>
      <c r="L151" s="57">
        <v>46.587936839705499</v>
      </c>
      <c r="M151" s="57">
        <v>34.409898278767599</v>
      </c>
      <c r="N151" s="57">
        <v>40.622261891985403</v>
      </c>
      <c r="O151" s="57">
        <v>40.5014483221793</v>
      </c>
      <c r="P151" s="57">
        <v>39.939999639796397</v>
      </c>
      <c r="Q151" s="57">
        <v>42.502757422705599</v>
      </c>
      <c r="R151" s="57">
        <v>47.288254199248499</v>
      </c>
      <c r="S151" s="57">
        <v>48.6773534153863</v>
      </c>
      <c r="T151" s="57">
        <v>53.188882765946303</v>
      </c>
    </row>
    <row r="152" spans="1:20" s="50" customFormat="1" x14ac:dyDescent="0.25">
      <c r="A152" s="51" t="s">
        <v>194</v>
      </c>
      <c r="B152" s="57">
        <v>10.228348675856299</v>
      </c>
      <c r="C152" s="58">
        <v>12.1170140042389</v>
      </c>
      <c r="D152" s="58">
        <v>14.4781495766589</v>
      </c>
      <c r="E152" s="58">
        <v>16.5970512572266</v>
      </c>
      <c r="F152" s="58">
        <v>17.6107030809045</v>
      </c>
      <c r="G152" s="57">
        <v>33.579601121871001</v>
      </c>
      <c r="H152" s="57">
        <v>38.560678350988702</v>
      </c>
      <c r="I152" s="57">
        <v>38.738584117456497</v>
      </c>
      <c r="J152" s="57">
        <v>37.942071789264403</v>
      </c>
      <c r="K152" s="57">
        <v>36.900247744722897</v>
      </c>
      <c r="L152" s="57">
        <v>36.682547837815299</v>
      </c>
      <c r="M152" s="57">
        <v>38.1683691534068</v>
      </c>
      <c r="N152" s="57">
        <v>36.233643711325399</v>
      </c>
      <c r="O152" s="57">
        <v>36.576030269323198</v>
      </c>
      <c r="P152" s="58">
        <v>36.942192354463003</v>
      </c>
      <c r="Q152" s="57">
        <v>43.349541034263403</v>
      </c>
      <c r="R152" s="57">
        <v>46.434813558898</v>
      </c>
      <c r="S152" s="57">
        <v>49.538048676356802</v>
      </c>
      <c r="T152" s="57"/>
    </row>
    <row r="153" spans="1:20" s="50" customFormat="1" x14ac:dyDescent="0.25">
      <c r="A153" s="51" t="s">
        <v>195</v>
      </c>
      <c r="B153" s="57">
        <v>1.5195314921943499</v>
      </c>
      <c r="C153" s="57">
        <v>2.2931738167754299</v>
      </c>
      <c r="D153" s="57">
        <v>3.0747784904028901</v>
      </c>
      <c r="E153" s="57">
        <v>3.8571870382949101</v>
      </c>
      <c r="F153" s="57">
        <v>4.8869674519587898</v>
      </c>
      <c r="G153" s="57">
        <v>6.2907741650272699</v>
      </c>
      <c r="H153" s="57">
        <v>8.0687080308889296</v>
      </c>
      <c r="I153" s="57">
        <v>10.052163525176899</v>
      </c>
      <c r="J153" s="57">
        <v>11.5420445230877</v>
      </c>
      <c r="K153" s="58">
        <v>13.485514379971701</v>
      </c>
      <c r="L153" s="58">
        <v>15.2952170085389</v>
      </c>
      <c r="M153" s="57">
        <v>16.1935649461164</v>
      </c>
      <c r="N153" s="58">
        <v>22.061061844933299</v>
      </c>
      <c r="O153" s="57"/>
      <c r="P153" s="58">
        <v>40.4605403256719</v>
      </c>
      <c r="Q153" s="58">
        <v>54.720501593457399</v>
      </c>
      <c r="R153" s="58">
        <v>53.758257384745797</v>
      </c>
      <c r="S153" s="58">
        <v>59.124808216699101</v>
      </c>
      <c r="T153" s="57"/>
    </row>
    <row r="154" spans="1:20" s="50" customFormat="1" x14ac:dyDescent="0.25">
      <c r="A154" s="51" t="s">
        <v>196</v>
      </c>
      <c r="B154" s="57">
        <v>18.535303265364401</v>
      </c>
      <c r="C154" s="57">
        <v>23.053458203158101</v>
      </c>
      <c r="D154" s="58">
        <v>34.839851288845303</v>
      </c>
      <c r="E154" s="57">
        <v>48.4152042043874</v>
      </c>
      <c r="F154" s="57">
        <v>60.121268276881104</v>
      </c>
      <c r="G154" s="57">
        <v>65.290514100661198</v>
      </c>
      <c r="H154" s="57">
        <v>68.573749388325396</v>
      </c>
      <c r="I154" s="57">
        <v>71.627947534530406</v>
      </c>
      <c r="J154" s="58">
        <v>79.0272480287436</v>
      </c>
      <c r="K154" s="58">
        <v>80.682989248428498</v>
      </c>
      <c r="L154" s="58">
        <v>82.340680408780798</v>
      </c>
      <c r="M154" s="58">
        <v>86.558846531600096</v>
      </c>
      <c r="N154" s="57">
        <v>88.713040550166397</v>
      </c>
      <c r="O154" s="57">
        <v>89.200370595647797</v>
      </c>
      <c r="P154" s="57">
        <v>91.051925883611304</v>
      </c>
      <c r="Q154" s="57">
        <v>104.747264466614</v>
      </c>
      <c r="R154" s="57">
        <v>118.627490794327</v>
      </c>
      <c r="S154" s="57">
        <v>121.491701239707</v>
      </c>
      <c r="T154" s="57">
        <v>128.399211381334</v>
      </c>
    </row>
    <row r="155" spans="1:20" s="50" customFormat="1" x14ac:dyDescent="0.25">
      <c r="A155" s="51" t="s">
        <v>197</v>
      </c>
      <c r="B155" s="57">
        <v>0.52398016677072801</v>
      </c>
      <c r="C155" s="57">
        <v>1.0739312513002801</v>
      </c>
      <c r="D155" s="57">
        <v>1.45421325867565</v>
      </c>
      <c r="E155" s="57">
        <v>2.2848295446017102</v>
      </c>
      <c r="F155" s="57">
        <v>4.60380846952871</v>
      </c>
      <c r="G155" s="57">
        <v>7.5702589949731198</v>
      </c>
      <c r="H155" s="57">
        <v>15.165500321685601</v>
      </c>
      <c r="I155" s="57">
        <v>21.4239594545095</v>
      </c>
      <c r="J155" s="57">
        <v>26.053626990858501</v>
      </c>
      <c r="K155" s="57">
        <v>30.153603385273499</v>
      </c>
      <c r="L155" s="57">
        <v>40.736301237152603</v>
      </c>
      <c r="M155" s="57">
        <v>47.999327424698301</v>
      </c>
      <c r="N155" s="57">
        <v>36.109483626086302</v>
      </c>
      <c r="O155" s="57"/>
      <c r="P155" s="58">
        <v>36.219930772065197</v>
      </c>
      <c r="Q155" s="57">
        <v>37.420847234722601</v>
      </c>
      <c r="R155" s="57">
        <v>52.808863321721098</v>
      </c>
      <c r="S155" s="57">
        <v>56.964298883798698</v>
      </c>
      <c r="T155" s="57"/>
    </row>
    <row r="156" spans="1:20" s="50" customFormat="1" x14ac:dyDescent="0.25">
      <c r="A156" s="51" t="s">
        <v>198</v>
      </c>
      <c r="B156" s="57">
        <v>50.337718953600799</v>
      </c>
      <c r="C156" s="57">
        <v>59.534904998020998</v>
      </c>
      <c r="D156" s="57">
        <v>75.117093347607096</v>
      </c>
      <c r="E156" s="58">
        <v>80.887271143465995</v>
      </c>
      <c r="F156" s="58">
        <v>87.267597360546404</v>
      </c>
      <c r="G156" s="57">
        <v>93.611236604435504</v>
      </c>
      <c r="H156" s="57">
        <v>133.01049110963299</v>
      </c>
      <c r="I156" s="58">
        <v>138.48845274404701</v>
      </c>
      <c r="J156" s="58">
        <v>143.49944251588701</v>
      </c>
      <c r="K156" s="57">
        <v>148.23759009178599</v>
      </c>
      <c r="L156" s="57">
        <v>138.244498133013</v>
      </c>
      <c r="M156" s="57">
        <v>141.05020887432599</v>
      </c>
      <c r="N156" s="57">
        <v>123.47549724141101</v>
      </c>
      <c r="O156" s="57">
        <v>132.46531466091199</v>
      </c>
      <c r="P156" s="57">
        <v>131.975264871196</v>
      </c>
      <c r="Q156" s="57">
        <v>131.30156264329699</v>
      </c>
      <c r="R156" s="57">
        <v>132.30865873248999</v>
      </c>
      <c r="S156" s="57">
        <v>123.23318716427499</v>
      </c>
      <c r="T156" s="57">
        <v>122.606627765979</v>
      </c>
    </row>
    <row r="157" spans="1:20" s="50" customFormat="1" x14ac:dyDescent="0.25">
      <c r="A157" s="51" t="s">
        <v>199</v>
      </c>
      <c r="B157" s="57">
        <v>14.8453813562626</v>
      </c>
      <c r="C157" s="57">
        <v>23.573187972774001</v>
      </c>
      <c r="D157" s="57">
        <v>45.3269217918035</v>
      </c>
      <c r="E157" s="57">
        <v>64.149116649760302</v>
      </c>
      <c r="F157" s="57">
        <v>70.153818860737999</v>
      </c>
      <c r="G157" s="57">
        <v>76.732273451570904</v>
      </c>
      <c r="H157" s="57">
        <v>70.630824726885606</v>
      </c>
      <c r="I157" s="57">
        <v>74.699989329908504</v>
      </c>
      <c r="J157" s="57">
        <v>87.880807293399599</v>
      </c>
      <c r="K157" s="57">
        <v>105.505264889158</v>
      </c>
      <c r="L157" s="57">
        <v>122.07851639605499</v>
      </c>
      <c r="M157" s="57">
        <v>124.273821038818</v>
      </c>
      <c r="N157" s="57">
        <v>126.633674737607</v>
      </c>
      <c r="O157" s="57">
        <v>132.57837035012</v>
      </c>
      <c r="P157" s="57">
        <v>105.20464465794301</v>
      </c>
      <c r="Q157" s="57">
        <v>106.448259811355</v>
      </c>
      <c r="R157" s="57">
        <v>108.847403542688</v>
      </c>
      <c r="S157" s="58">
        <v>106.782250509204</v>
      </c>
      <c r="T157" s="57"/>
    </row>
    <row r="158" spans="1:20" s="50" customFormat="1" x14ac:dyDescent="0.25">
      <c r="A158" s="51" t="s">
        <v>200</v>
      </c>
      <c r="B158" s="57">
        <v>12.8045967119533</v>
      </c>
      <c r="C158" s="57">
        <v>22.600188136628802</v>
      </c>
      <c r="D158" s="57">
        <v>32.162944189940397</v>
      </c>
      <c r="E158" s="57">
        <v>47.713219650056097</v>
      </c>
      <c r="F158" s="57">
        <v>60.769497588834398</v>
      </c>
      <c r="G158" s="57">
        <v>68.447310784555597</v>
      </c>
      <c r="H158" s="57">
        <v>81.110448832362593</v>
      </c>
      <c r="I158" s="57">
        <v>95.826177099743305</v>
      </c>
      <c r="J158" s="57">
        <v>102.337999297675</v>
      </c>
      <c r="K158" s="57">
        <v>108.270496910446</v>
      </c>
      <c r="L158" s="57">
        <v>121.997156544235</v>
      </c>
      <c r="M158" s="57">
        <v>130.481366086196</v>
      </c>
      <c r="N158" s="57">
        <v>122.471765695646</v>
      </c>
      <c r="O158" s="57">
        <v>133.60999243249799</v>
      </c>
      <c r="P158" s="57">
        <v>130.70523333400999</v>
      </c>
      <c r="Q158" s="57">
        <v>126.887391353856</v>
      </c>
      <c r="R158" s="57">
        <v>124.402625384529</v>
      </c>
      <c r="S158" s="57">
        <v>120.803416027053</v>
      </c>
      <c r="T158" s="57">
        <v>98.805922141272205</v>
      </c>
    </row>
    <row r="159" spans="1:20" s="50" customFormat="1" x14ac:dyDescent="0.25">
      <c r="A159" s="51" t="s">
        <v>201</v>
      </c>
      <c r="B159" s="57">
        <v>2.0441616795611099</v>
      </c>
      <c r="C159" s="57"/>
      <c r="D159" s="57">
        <v>20.699046115508299</v>
      </c>
      <c r="E159" s="58">
        <v>27.780948734552499</v>
      </c>
      <c r="F159" s="57">
        <v>34.396296202092898</v>
      </c>
      <c r="G159" s="57">
        <v>38.476018763215301</v>
      </c>
      <c r="H159" s="57">
        <v>45.6101779050204</v>
      </c>
      <c r="I159" s="57">
        <v>51.134538122273703</v>
      </c>
      <c r="J159" s="57">
        <v>66.445276854017195</v>
      </c>
      <c r="K159" s="58">
        <v>75.686895511553999</v>
      </c>
      <c r="L159" s="57">
        <v>91.475617974567996</v>
      </c>
      <c r="M159" s="57">
        <v>92.023294897801094</v>
      </c>
      <c r="N159" s="57">
        <v>94.464089476385595</v>
      </c>
      <c r="O159" s="57">
        <v>94.555007432639101</v>
      </c>
      <c r="P159" s="57">
        <v>98.762147329831507</v>
      </c>
      <c r="Q159" s="58">
        <v>103.169629792667</v>
      </c>
      <c r="R159" s="58">
        <v>100.61622056009099</v>
      </c>
      <c r="S159" s="58">
        <v>108.885007666592</v>
      </c>
      <c r="T159" s="57"/>
    </row>
    <row r="160" spans="1:20" s="50" customFormat="1" x14ac:dyDescent="0.25">
      <c r="A160" s="51" t="s">
        <v>202</v>
      </c>
      <c r="B160" s="57">
        <v>7.15301628202391</v>
      </c>
      <c r="C160" s="57">
        <v>11.116347524169701</v>
      </c>
      <c r="D160" s="57">
        <v>20.4152900165818</v>
      </c>
      <c r="E160" s="57">
        <v>33.611414639522501</v>
      </c>
      <c r="F160" s="57">
        <v>36.710786391566401</v>
      </c>
      <c r="G160" s="57">
        <v>43.244887627071101</v>
      </c>
      <c r="H160" s="57">
        <v>45.559662603011297</v>
      </c>
      <c r="I160" s="57">
        <v>63.5328932668127</v>
      </c>
      <c r="J160" s="57">
        <v>55.420045012509</v>
      </c>
      <c r="K160" s="57">
        <v>63.654183911293998</v>
      </c>
      <c r="L160" s="57">
        <v>69.326773608320806</v>
      </c>
      <c r="M160" s="57">
        <v>70.191599618536699</v>
      </c>
      <c r="N160" s="57">
        <v>76.439369400854105</v>
      </c>
      <c r="O160" s="57">
        <v>77.021935647664506</v>
      </c>
      <c r="P160" s="57">
        <v>80.824527772582798</v>
      </c>
      <c r="Q160" s="57">
        <v>95.062870823616507</v>
      </c>
      <c r="R160" s="57">
        <v>108.62961248585999</v>
      </c>
      <c r="S160" s="57">
        <v>125.93467009953299</v>
      </c>
      <c r="T160" s="57">
        <v>128.11052974009201</v>
      </c>
    </row>
    <row r="161" spans="1:20" s="50" customFormat="1" x14ac:dyDescent="0.25">
      <c r="A161" s="51" t="s">
        <v>203</v>
      </c>
      <c r="B161" s="57">
        <v>12.8838631190706</v>
      </c>
      <c r="C161" s="57">
        <v>19.8902975525043</v>
      </c>
      <c r="D161" s="57">
        <v>29.838331749453701</v>
      </c>
      <c r="E161" s="57">
        <v>41.584010202836801</v>
      </c>
      <c r="F161" s="57">
        <v>47.921530437447501</v>
      </c>
      <c r="G161" s="57">
        <v>60.023440230525203</v>
      </c>
      <c r="H161" s="57">
        <v>65.673016154627305</v>
      </c>
      <c r="I161" s="57">
        <v>70.022652732779406</v>
      </c>
      <c r="J161" s="57">
        <v>70.754108689370597</v>
      </c>
      <c r="K161" s="57">
        <v>73.032745555839298</v>
      </c>
      <c r="L161" s="57">
        <v>80.095826316585104</v>
      </c>
      <c r="M161" s="57">
        <v>80.977236100434098</v>
      </c>
      <c r="N161" s="57">
        <v>87.026530838818999</v>
      </c>
      <c r="O161" s="57">
        <v>98.594467910688394</v>
      </c>
      <c r="P161" s="57">
        <v>106.547822056778</v>
      </c>
      <c r="Q161" s="57">
        <v>117.60252639477901</v>
      </c>
      <c r="R161" s="57">
        <v>122.297519656734</v>
      </c>
      <c r="S161" s="57">
        <v>121.168999135357</v>
      </c>
      <c r="T161" s="57">
        <v>120.612416887959</v>
      </c>
    </row>
    <row r="162" spans="1:20" s="50" customFormat="1" x14ac:dyDescent="0.25">
      <c r="A162" s="51" t="s">
        <v>204</v>
      </c>
      <c r="B162" s="57">
        <v>12.7893640595655</v>
      </c>
      <c r="C162" s="57">
        <v>18.401100632730099</v>
      </c>
      <c r="D162" s="57">
        <v>24.6998875730315</v>
      </c>
      <c r="E162" s="57">
        <v>30.165452945044098</v>
      </c>
      <c r="F162" s="58">
        <v>33.368957177178103</v>
      </c>
      <c r="G162" s="57">
        <v>49.465122371886103</v>
      </c>
      <c r="H162" s="57">
        <v>61.189100942448597</v>
      </c>
      <c r="I162" s="57">
        <v>75.936390618348597</v>
      </c>
      <c r="J162" s="57">
        <v>87.055264662748002</v>
      </c>
      <c r="K162" s="57">
        <v>102.82199463580601</v>
      </c>
      <c r="L162" s="57">
        <v>101.688197961524</v>
      </c>
      <c r="M162" s="57">
        <v>107.157971519258</v>
      </c>
      <c r="N162" s="57">
        <v>110.370078484639</v>
      </c>
      <c r="O162" s="57">
        <v>72.455524195561196</v>
      </c>
      <c r="P162" s="57">
        <v>76.1124827725111</v>
      </c>
      <c r="Q162" s="57">
        <v>69.894401239507303</v>
      </c>
      <c r="R162" s="57">
        <v>80.536819568241498</v>
      </c>
      <c r="S162" s="57">
        <v>68.100135164099697</v>
      </c>
      <c r="T162" s="57">
        <v>69.351305142350895</v>
      </c>
    </row>
    <row r="163" spans="1:20" s="50" customFormat="1" x14ac:dyDescent="0.25">
      <c r="A163" s="51" t="s">
        <v>205</v>
      </c>
      <c r="B163" s="57">
        <v>4.8469940306239101</v>
      </c>
      <c r="C163" s="58">
        <v>8.0211138634353798</v>
      </c>
      <c r="D163" s="58">
        <v>15.3445714830815</v>
      </c>
      <c r="E163" s="57">
        <v>22.366561868703101</v>
      </c>
      <c r="F163" s="57">
        <v>27.518495937639798</v>
      </c>
      <c r="G163" s="57">
        <v>38.712751515808499</v>
      </c>
      <c r="H163" s="57">
        <v>47.869030872424702</v>
      </c>
      <c r="I163" s="57">
        <v>54.422058049737899</v>
      </c>
      <c r="J163" s="57">
        <v>57.061266746587798</v>
      </c>
      <c r="K163" s="57">
        <v>70.662816782358206</v>
      </c>
      <c r="L163" s="58">
        <v>78.378668983401596</v>
      </c>
      <c r="M163" s="57">
        <v>65.543711760935693</v>
      </c>
      <c r="N163" s="58">
        <v>54.857519965765597</v>
      </c>
      <c r="O163" s="57"/>
      <c r="P163" s="58">
        <v>38.4041861157665</v>
      </c>
      <c r="Q163" s="58">
        <v>32.100434550165701</v>
      </c>
      <c r="R163" s="58">
        <v>31.429900768597001</v>
      </c>
      <c r="S163" s="58">
        <v>32.063888557000602</v>
      </c>
      <c r="T163" s="57"/>
    </row>
    <row r="164" spans="1:20" s="50" customFormat="1" x14ac:dyDescent="0.25">
      <c r="A164" s="51" t="s">
        <v>206</v>
      </c>
      <c r="B164" s="57">
        <v>2.6632401006967399</v>
      </c>
      <c r="C164" s="57">
        <v>5.3007593314631398</v>
      </c>
      <c r="D164" s="57">
        <v>10.9142059758793</v>
      </c>
      <c r="E164" s="57">
        <v>23.108755371862902</v>
      </c>
      <c r="F164" s="57">
        <v>29.162840971110999</v>
      </c>
      <c r="G164" s="57">
        <v>34.763570318987099</v>
      </c>
      <c r="H164" s="57">
        <v>38.036359175017402</v>
      </c>
      <c r="I164" s="57">
        <v>37.415549057604302</v>
      </c>
      <c r="J164" s="57">
        <v>35.0948534776429</v>
      </c>
      <c r="K164" s="57">
        <v>39.225272557145502</v>
      </c>
      <c r="L164" s="57">
        <v>42.0572239372609</v>
      </c>
      <c r="M164" s="57">
        <v>30.644703867654599</v>
      </c>
      <c r="N164" s="57">
        <v>32.590625597857297</v>
      </c>
      <c r="O164" s="57">
        <v>38.7515500132643</v>
      </c>
      <c r="P164" s="57">
        <v>46.077978411707001</v>
      </c>
      <c r="Q164" s="57">
        <v>54.808466359019903</v>
      </c>
      <c r="R164" s="57">
        <v>53.917723378429798</v>
      </c>
      <c r="S164" s="57">
        <v>64.7494924066919</v>
      </c>
      <c r="T164" s="57">
        <v>75.456296673553496</v>
      </c>
    </row>
    <row r="165" spans="1:20" s="50" customFormat="1" x14ac:dyDescent="0.25">
      <c r="A165" s="51" t="s">
        <v>207</v>
      </c>
      <c r="B165" s="57">
        <v>3.2800777505910998</v>
      </c>
      <c r="C165" s="58">
        <v>4.6986669369963003</v>
      </c>
      <c r="D165" s="57">
        <v>7.7403171089593101</v>
      </c>
      <c r="E165" s="57">
        <v>10.787342707362001</v>
      </c>
      <c r="F165" s="57">
        <v>17.266481001248401</v>
      </c>
      <c r="G165" s="57">
        <v>21.025675510066002</v>
      </c>
      <c r="H165" s="57">
        <v>25.8864481164849</v>
      </c>
      <c r="I165" s="57">
        <v>29.580007151051898</v>
      </c>
      <c r="J165" s="57">
        <v>32.731742522003699</v>
      </c>
      <c r="K165" s="57">
        <v>33.886840074606802</v>
      </c>
      <c r="L165" s="57">
        <v>38.434190174443501</v>
      </c>
      <c r="M165" s="57">
        <v>40.8844441758703</v>
      </c>
      <c r="N165" s="57">
        <v>43.085508834258199</v>
      </c>
      <c r="O165" s="57">
        <v>38.195569201149297</v>
      </c>
      <c r="P165" s="57">
        <v>46.784100833438799</v>
      </c>
      <c r="Q165" s="57">
        <v>51.217043939230102</v>
      </c>
      <c r="R165" s="57">
        <v>59.559940815846197</v>
      </c>
      <c r="S165" s="57">
        <v>59.649570940896297</v>
      </c>
      <c r="T165" s="57">
        <v>61.0866071008045</v>
      </c>
    </row>
    <row r="166" spans="1:20" s="50" customFormat="1" x14ac:dyDescent="0.25">
      <c r="A166" s="51" t="s">
        <v>208</v>
      </c>
      <c r="B166" s="57">
        <v>5.6282285814823299</v>
      </c>
      <c r="C166" s="57">
        <v>10.8143886204419</v>
      </c>
      <c r="D166" s="57">
        <v>17.5053976147782</v>
      </c>
      <c r="E166" s="57">
        <v>23.014645418158199</v>
      </c>
      <c r="F166" s="57">
        <v>28.897876517302102</v>
      </c>
      <c r="G166" s="57">
        <v>46.662217678325497</v>
      </c>
      <c r="H166" s="57">
        <v>65.710715901082096</v>
      </c>
      <c r="I166" s="57">
        <v>86.175659385695596</v>
      </c>
      <c r="J166" s="57">
        <v>113.114584714497</v>
      </c>
      <c r="K166" s="57">
        <v>130.43957117838499</v>
      </c>
      <c r="L166" s="57">
        <v>122.08297822699301</v>
      </c>
      <c r="M166" s="57">
        <v>105.348301513254</v>
      </c>
      <c r="N166" s="57">
        <v>111.210305187838</v>
      </c>
      <c r="O166" s="57">
        <v>107.404034726492</v>
      </c>
      <c r="P166" s="57">
        <v>108.81451158737499</v>
      </c>
      <c r="Q166" s="57">
        <v>116.587405376001</v>
      </c>
      <c r="R166" s="57">
        <v>108.693122357196</v>
      </c>
      <c r="S166" s="57">
        <v>112.119852778009</v>
      </c>
      <c r="T166" s="57"/>
    </row>
    <row r="167" spans="1:20" s="50" customFormat="1" x14ac:dyDescent="0.25">
      <c r="A167" s="51" t="s">
        <v>209</v>
      </c>
      <c r="B167" s="57">
        <v>52.2446836857658</v>
      </c>
      <c r="C167" s="57">
        <v>61.117788604196498</v>
      </c>
      <c r="D167" s="57">
        <v>73.1476040513014</v>
      </c>
      <c r="E167" s="57">
        <v>81.066344482930404</v>
      </c>
      <c r="F167" s="57">
        <v>84.970429376092696</v>
      </c>
      <c r="G167" s="57">
        <v>92.842569904787396</v>
      </c>
      <c r="H167" s="57">
        <v>100.608971543233</v>
      </c>
      <c r="I167" s="57">
        <v>115.252449250293</v>
      </c>
      <c r="J167" s="57">
        <v>118.79310665352899</v>
      </c>
      <c r="K167" s="57">
        <v>127.86328226284</v>
      </c>
      <c r="L167" s="57">
        <v>136.37190226538499</v>
      </c>
      <c r="M167" s="57">
        <v>140.423888162514</v>
      </c>
      <c r="N167" s="57">
        <v>142.524532117413</v>
      </c>
      <c r="O167" s="57">
        <v>148.81679783183699</v>
      </c>
      <c r="P167" s="57">
        <v>145.11727708801399</v>
      </c>
      <c r="Q167" s="57">
        <v>149.06995900166999</v>
      </c>
      <c r="R167" s="57">
        <v>154.05318597743201</v>
      </c>
      <c r="S167" s="57">
        <v>164.30927883522801</v>
      </c>
      <c r="T167" s="57">
        <v>165.25752441134799</v>
      </c>
    </row>
    <row r="168" spans="1:20" s="50" customFormat="1" x14ac:dyDescent="0.25">
      <c r="A168" s="51" t="s">
        <v>210</v>
      </c>
      <c r="B168" s="57">
        <v>7.4069191027891303</v>
      </c>
      <c r="C168" s="57">
        <v>11.2537028396523</v>
      </c>
      <c r="D168" s="57">
        <v>14.4674737235959</v>
      </c>
      <c r="E168" s="57">
        <v>20.1888204410131</v>
      </c>
      <c r="F168" s="57">
        <v>26.665099124699701</v>
      </c>
      <c r="G168" s="57">
        <v>31.410505610295299</v>
      </c>
      <c r="H168" s="57">
        <v>33.216339150186997</v>
      </c>
      <c r="I168" s="57">
        <v>36.178164657628301</v>
      </c>
      <c r="J168" s="57">
        <v>49.5029641007918</v>
      </c>
      <c r="K168" s="57">
        <v>71.670147226619605</v>
      </c>
      <c r="L168" s="57">
        <v>75.844721317640605</v>
      </c>
      <c r="M168" s="57">
        <v>54.964115622338198</v>
      </c>
      <c r="N168" s="57">
        <v>42.161969408010499</v>
      </c>
      <c r="O168" s="57">
        <v>48.500708716782199</v>
      </c>
      <c r="P168" s="57">
        <v>49.435069424227599</v>
      </c>
      <c r="Q168" s="57">
        <v>50.231882547666203</v>
      </c>
      <c r="R168" s="57">
        <v>43.163619046417601</v>
      </c>
      <c r="S168" s="57">
        <v>45.817819966201903</v>
      </c>
      <c r="T168" s="57"/>
    </row>
    <row r="169" spans="1:20" s="50" customFormat="1" x14ac:dyDescent="0.25">
      <c r="A169" s="51" t="s">
        <v>211</v>
      </c>
      <c r="B169" s="57">
        <v>22.824219890144398</v>
      </c>
      <c r="C169" s="57">
        <v>30.566276818776998</v>
      </c>
      <c r="D169" s="57">
        <v>39.644803329039902</v>
      </c>
      <c r="E169" s="57">
        <v>51.390875481667301</v>
      </c>
      <c r="F169" s="57">
        <v>78.5395548461197</v>
      </c>
      <c r="G169" s="57">
        <v>92.428753096841405</v>
      </c>
      <c r="H169" s="57">
        <v>102.24430130572</v>
      </c>
      <c r="I169" s="57">
        <v>97.821023268360307</v>
      </c>
      <c r="J169" s="57">
        <v>121.105585418565</v>
      </c>
      <c r="K169" s="57">
        <v>115.5200011764</v>
      </c>
      <c r="L169" s="57">
        <v>107.392368276966</v>
      </c>
      <c r="M169" s="57">
        <v>109.04955819766499</v>
      </c>
      <c r="N169" s="57">
        <v>106.914765245509</v>
      </c>
      <c r="O169" s="57">
        <v>107.06026049469099</v>
      </c>
      <c r="P169" s="57">
        <v>106.53315947895</v>
      </c>
      <c r="Q169" s="57">
        <v>106.206587456143</v>
      </c>
      <c r="R169" s="57">
        <v>103.727351391971</v>
      </c>
      <c r="S169" s="57">
        <v>100.557816104444</v>
      </c>
      <c r="T169" s="57">
        <v>87.676095433997205</v>
      </c>
    </row>
    <row r="170" spans="1:20" s="50" customFormat="1" x14ac:dyDescent="0.25">
      <c r="A170" s="51" t="s">
        <v>212</v>
      </c>
      <c r="B170" s="57">
        <v>2.35423436951156</v>
      </c>
      <c r="C170" s="57">
        <v>3.3850598037744599</v>
      </c>
      <c r="D170" s="58">
        <v>6.0795981520723696</v>
      </c>
      <c r="E170" s="57">
        <v>12.3528088783202</v>
      </c>
      <c r="F170" s="58">
        <v>16.3011350896202</v>
      </c>
      <c r="G170" s="57">
        <v>22.168478929181401</v>
      </c>
      <c r="H170" s="57">
        <v>27.612953279822001</v>
      </c>
      <c r="I170" s="57">
        <v>30.249536785501899</v>
      </c>
      <c r="J170" s="58">
        <v>37.831201878109702</v>
      </c>
      <c r="K170" s="58">
        <v>42.862401148964601</v>
      </c>
      <c r="L170" s="58">
        <v>44.930920527688301</v>
      </c>
      <c r="M170" s="57">
        <v>36.120522177752001</v>
      </c>
      <c r="N170" s="57">
        <v>40.954986427620902</v>
      </c>
      <c r="O170" s="57"/>
      <c r="P170" s="58">
        <v>52.811261684529804</v>
      </c>
      <c r="Q170" s="58">
        <v>60.035552481609301</v>
      </c>
      <c r="R170" s="57">
        <v>61.506309244825097</v>
      </c>
      <c r="S170" s="57">
        <v>63.377054803274298</v>
      </c>
      <c r="T170" s="57">
        <v>65.735032215569007</v>
      </c>
    </row>
    <row r="171" spans="1:20" s="50" customFormat="1" x14ac:dyDescent="0.25">
      <c r="A171" s="51" t="s">
        <v>213</v>
      </c>
      <c r="B171" s="57">
        <v>12.8170956320625</v>
      </c>
      <c r="C171" s="57">
        <v>21.681499885153599</v>
      </c>
      <c r="D171" s="57">
        <v>26.356320806176601</v>
      </c>
      <c r="E171" s="57">
        <v>39.968581747135701</v>
      </c>
      <c r="F171" s="57">
        <v>45.984887676024599</v>
      </c>
      <c r="G171" s="57">
        <v>52.3861480651505</v>
      </c>
      <c r="H171" s="57">
        <v>55.530126754060902</v>
      </c>
      <c r="I171" s="57">
        <v>64.005326314818703</v>
      </c>
      <c r="J171" s="57">
        <v>70.282509513161003</v>
      </c>
      <c r="K171" s="57">
        <v>74.751278147891796</v>
      </c>
      <c r="L171" s="57">
        <v>79.104527936731202</v>
      </c>
      <c r="M171" s="57">
        <v>78.970142296733002</v>
      </c>
      <c r="N171" s="57">
        <v>72.367968175149699</v>
      </c>
      <c r="O171" s="57">
        <v>84.284011093948493</v>
      </c>
      <c r="P171" s="57">
        <v>88.116901052898399</v>
      </c>
      <c r="Q171" s="57">
        <v>95.435664807494902</v>
      </c>
      <c r="R171" s="57">
        <v>89.291585842640799</v>
      </c>
      <c r="S171" s="57">
        <v>99.585215198956703</v>
      </c>
      <c r="T171" s="57">
        <v>98.477282273142507</v>
      </c>
    </row>
    <row r="172" spans="1:20" s="50" customFormat="1" x14ac:dyDescent="0.25">
      <c r="A172" s="51" t="s">
        <v>214</v>
      </c>
      <c r="B172" s="57">
        <v>2.4626131809410698</v>
      </c>
      <c r="C172" s="57">
        <v>3.3787793117850602</v>
      </c>
      <c r="D172" s="57">
        <v>6.6506958739920004</v>
      </c>
      <c r="E172" s="57">
        <v>13.4904193265199</v>
      </c>
      <c r="F172" s="57">
        <v>24.146597283297599</v>
      </c>
      <c r="G172" s="57">
        <v>34.395374562165998</v>
      </c>
      <c r="H172" s="57">
        <v>42.049425685328004</v>
      </c>
      <c r="I172" s="57">
        <v>52.546657628726201</v>
      </c>
      <c r="J172" s="57">
        <v>60.2988640030865</v>
      </c>
      <c r="K172" s="57">
        <v>68.167044838706204</v>
      </c>
      <c r="L172" s="57">
        <v>75.254316529642296</v>
      </c>
      <c r="M172" s="57">
        <v>74.850205756552299</v>
      </c>
      <c r="N172" s="57">
        <v>72.276459876447106</v>
      </c>
      <c r="O172" s="57">
        <v>77.679469147812</v>
      </c>
      <c r="P172" s="57">
        <v>75.598545190188304</v>
      </c>
      <c r="Q172" s="57">
        <v>81.237872476137596</v>
      </c>
      <c r="R172" s="57">
        <v>81.6381635400584</v>
      </c>
      <c r="S172" s="57">
        <v>80.595222485043294</v>
      </c>
      <c r="T172" s="57">
        <v>91.462270407814103</v>
      </c>
    </row>
    <row r="173" spans="1:20" s="50" customFormat="1" x14ac:dyDescent="0.25">
      <c r="A173" s="51" t="s">
        <v>215</v>
      </c>
      <c r="B173" s="57">
        <v>7.3948737619015201</v>
      </c>
      <c r="C173" s="57">
        <v>11.1230514736957</v>
      </c>
      <c r="D173" s="57">
        <v>17.736593989393</v>
      </c>
      <c r="E173" s="57">
        <v>29.0869022342672</v>
      </c>
      <c r="F173" s="58">
        <v>45.447082703131201</v>
      </c>
      <c r="G173" s="57">
        <v>56.506529081088203</v>
      </c>
      <c r="H173" s="57">
        <v>61.965321655381899</v>
      </c>
      <c r="I173" s="57">
        <v>64.491472188936797</v>
      </c>
      <c r="J173" s="57">
        <v>64.887547372998895</v>
      </c>
      <c r="K173" s="58">
        <v>65.305666092383404</v>
      </c>
      <c r="L173" s="57">
        <v>92.351129107149106</v>
      </c>
      <c r="M173" s="57">
        <v>87.411200408465803</v>
      </c>
      <c r="N173" s="57">
        <v>84.052278107938307</v>
      </c>
      <c r="O173" s="57">
        <v>77.364442139618504</v>
      </c>
      <c r="P173" s="57">
        <v>77.679106995576205</v>
      </c>
      <c r="Q173" s="57">
        <v>80.1172764274381</v>
      </c>
      <c r="R173" s="57">
        <v>85.257770509233595</v>
      </c>
      <c r="S173" s="57">
        <v>86.778462694151699</v>
      </c>
      <c r="T173" s="57">
        <v>63.454050097240497</v>
      </c>
    </row>
    <row r="174" spans="1:20" s="50" customFormat="1" x14ac:dyDescent="0.25">
      <c r="A174" s="51" t="s">
        <v>216</v>
      </c>
      <c r="B174" s="57">
        <v>15.3986054168441</v>
      </c>
      <c r="C174" s="57">
        <v>25.935640178245499</v>
      </c>
      <c r="D174" s="57">
        <v>30.847050859346201</v>
      </c>
      <c r="E174" s="57">
        <v>44.7269593995631</v>
      </c>
      <c r="F174" s="57">
        <v>55.939648170289502</v>
      </c>
      <c r="G174" s="57">
        <v>66.034382888790404</v>
      </c>
      <c r="H174" s="57">
        <v>72.173333887907305</v>
      </c>
      <c r="I174" s="57">
        <v>86.177456210306204</v>
      </c>
      <c r="J174" s="57">
        <v>95.791092148998203</v>
      </c>
      <c r="K174" s="57">
        <v>101.608432443463</v>
      </c>
      <c r="L174" s="57">
        <v>102.508995376039</v>
      </c>
      <c r="M174" s="57">
        <v>101.010767153806</v>
      </c>
      <c r="N174" s="57">
        <v>101.83110800244199</v>
      </c>
      <c r="O174" s="57">
        <v>104.055698143919</v>
      </c>
      <c r="P174" s="57">
        <v>109.341890091569</v>
      </c>
      <c r="Q174" s="57">
        <v>113.638091206029</v>
      </c>
      <c r="R174" s="57">
        <v>115.32509367850101</v>
      </c>
      <c r="S174" s="57">
        <v>118.15029349723901</v>
      </c>
      <c r="T174" s="57">
        <v>123.911572643075</v>
      </c>
    </row>
    <row r="175" spans="1:20" s="50" customFormat="1" x14ac:dyDescent="0.25">
      <c r="A175" s="51" t="s">
        <v>217</v>
      </c>
      <c r="B175" s="57">
        <v>65.877265700266605</v>
      </c>
      <c r="C175" s="57">
        <v>77.832981089484704</v>
      </c>
      <c r="D175" s="57">
        <v>84.486377749595505</v>
      </c>
      <c r="E175" s="57">
        <v>101.003814278151</v>
      </c>
      <c r="F175" s="57">
        <v>118.19968385525701</v>
      </c>
      <c r="G175" s="57">
        <v>123.81358519969299</v>
      </c>
      <c r="H175" s="57">
        <v>130.47699538258601</v>
      </c>
      <c r="I175" s="57">
        <v>137.10657705715099</v>
      </c>
      <c r="J175" s="57">
        <v>133.98567972338901</v>
      </c>
      <c r="K175" s="57">
        <v>144.60603512527001</v>
      </c>
      <c r="L175" s="57">
        <v>138.24862445211201</v>
      </c>
      <c r="M175" s="57">
        <v>138.27683229983299</v>
      </c>
      <c r="N175" s="57">
        <v>148.791660366282</v>
      </c>
      <c r="O175" s="57">
        <v>155.55111265646701</v>
      </c>
      <c r="P175" s="57">
        <v>164.617084572886</v>
      </c>
      <c r="Q175" s="57">
        <v>152.5450781854</v>
      </c>
      <c r="R175" s="57">
        <v>149.479213250181</v>
      </c>
      <c r="S175" s="57">
        <v>163.42951833144801</v>
      </c>
      <c r="T175" s="57">
        <v>184.90359590780801</v>
      </c>
    </row>
    <row r="176" spans="1:20" s="50" customFormat="1" x14ac:dyDescent="0.25">
      <c r="A176" s="51" t="s">
        <v>218</v>
      </c>
      <c r="B176" s="57"/>
      <c r="C176" s="57"/>
      <c r="D176" s="58">
        <v>13.497173246654601</v>
      </c>
      <c r="E176" s="57">
        <v>17.113614518207999</v>
      </c>
      <c r="F176" s="58">
        <v>19.1556771977754</v>
      </c>
      <c r="G176" s="57">
        <v>32.140316909952801</v>
      </c>
      <c r="H176" s="58">
        <v>33.457272933222796</v>
      </c>
      <c r="I176" s="58">
        <v>33.734895620264098</v>
      </c>
      <c r="J176" s="58">
        <v>59.576550729209501</v>
      </c>
      <c r="K176" s="58">
        <v>69.175882385875695</v>
      </c>
      <c r="L176" s="58">
        <v>80.381888569416901</v>
      </c>
      <c r="M176" s="58">
        <v>87.147594113689195</v>
      </c>
      <c r="N176" s="57">
        <v>89.778175406634105</v>
      </c>
      <c r="O176" s="57">
        <v>84.123343732787703</v>
      </c>
      <c r="P176" s="57">
        <v>87.038435507749597</v>
      </c>
      <c r="Q176" s="57">
        <v>87.003482312546694</v>
      </c>
      <c r="R176" s="57">
        <v>101.636782141976</v>
      </c>
      <c r="S176" s="58">
        <v>107.882000873042</v>
      </c>
      <c r="T176" s="57"/>
    </row>
    <row r="177" spans="1:20" s="50" customFormat="1" x14ac:dyDescent="0.25">
      <c r="A177" s="51" t="s">
        <v>219</v>
      </c>
      <c r="B177" s="57">
        <v>68.619792595410104</v>
      </c>
      <c r="C177" s="57">
        <v>79.326733599239802</v>
      </c>
      <c r="D177" s="57">
        <v>83.714991894488904</v>
      </c>
      <c r="E177" s="57">
        <v>88.037470469053304</v>
      </c>
      <c r="F177" s="58">
        <v>89.768668407189594</v>
      </c>
      <c r="G177" s="57">
        <v>96.232521246779299</v>
      </c>
      <c r="H177" s="58">
        <v>120.765642853915</v>
      </c>
      <c r="I177" s="58">
        <v>127.16760060932</v>
      </c>
      <c r="J177" s="57">
        <v>140.576037974212</v>
      </c>
      <c r="K177" s="57">
        <v>142.60448245212999</v>
      </c>
      <c r="L177" s="57">
        <v>155.13752606788299</v>
      </c>
      <c r="M177" s="57">
        <v>143.92861725373999</v>
      </c>
      <c r="N177" s="57">
        <v>153.547950468153</v>
      </c>
      <c r="O177" s="57">
        <v>157.691905248121</v>
      </c>
      <c r="P177" s="57">
        <v>162.73854828040999</v>
      </c>
      <c r="Q177" s="57">
        <v>158.44726943612099</v>
      </c>
      <c r="R177" s="57">
        <v>163.12806305125</v>
      </c>
      <c r="S177" s="57">
        <v>160.72851167575399</v>
      </c>
      <c r="T177" s="57">
        <v>171.50861926042799</v>
      </c>
    </row>
    <row r="178" spans="1:20" s="50" customFormat="1" x14ac:dyDescent="0.25">
      <c r="A178" s="51" t="s">
        <v>220</v>
      </c>
      <c r="B178" s="57"/>
      <c r="C178" s="57"/>
      <c r="D178" s="57"/>
      <c r="E178" s="57"/>
      <c r="F178" s="57"/>
      <c r="G178" s="57">
        <v>15.3910038351303</v>
      </c>
      <c r="H178" s="57">
        <v>17.4959266080871</v>
      </c>
      <c r="I178" s="57">
        <v>21.382936788320102</v>
      </c>
      <c r="J178" s="57">
        <v>25.5521917559795</v>
      </c>
      <c r="K178" s="57">
        <v>25.599272919722001</v>
      </c>
      <c r="L178" s="58">
        <v>26.099338999803798</v>
      </c>
      <c r="M178" s="57">
        <v>24.930513119821001</v>
      </c>
      <c r="N178" s="57">
        <v>27.184824401700201</v>
      </c>
      <c r="O178" s="57">
        <v>18.9297575209348</v>
      </c>
      <c r="P178" s="57">
        <v>21.3171365460584</v>
      </c>
      <c r="Q178" s="57"/>
      <c r="R178" s="57">
        <v>30.151042999213999</v>
      </c>
      <c r="S178" s="57">
        <v>48.488832000429703</v>
      </c>
      <c r="T178" s="57">
        <v>46.615236950394497</v>
      </c>
    </row>
    <row r="179" spans="1:20" s="50" customFormat="1" x14ac:dyDescent="0.25">
      <c r="A179" s="51" t="s">
        <v>221</v>
      </c>
      <c r="B179" s="57">
        <v>7.5646834026864704</v>
      </c>
      <c r="C179" s="57">
        <v>13.9198750253816</v>
      </c>
      <c r="D179" s="57">
        <v>19.915284261480799</v>
      </c>
      <c r="E179" s="57">
        <v>30.5533722608643</v>
      </c>
      <c r="F179" s="57">
        <v>40.036423904652999</v>
      </c>
      <c r="G179" s="57">
        <v>46.8823991552172</v>
      </c>
      <c r="H179" s="57">
        <v>55.761042727352702</v>
      </c>
      <c r="I179" s="57">
        <v>57.455848386866599</v>
      </c>
      <c r="J179" s="57">
        <v>56.207502569221496</v>
      </c>
      <c r="K179" s="57">
        <v>63.280435352169803</v>
      </c>
      <c r="L179" s="57">
        <v>76.249262749120206</v>
      </c>
      <c r="M179" s="57">
        <v>74.398365651405399</v>
      </c>
      <c r="N179" s="57">
        <v>71.791168437074901</v>
      </c>
      <c r="O179" s="57">
        <v>75.730193414035497</v>
      </c>
      <c r="P179" s="57">
        <v>80.583556968444597</v>
      </c>
      <c r="Q179" s="57">
        <v>84.005055828338399</v>
      </c>
      <c r="R179" s="57">
        <v>86.016281414802705</v>
      </c>
      <c r="S179" s="57">
        <v>93.015974623863499</v>
      </c>
      <c r="T179" s="57">
        <v>105.40028112088</v>
      </c>
    </row>
    <row r="180" spans="1:20" s="50" customFormat="1" x14ac:dyDescent="0.25">
      <c r="A180" s="51" t="s">
        <v>222</v>
      </c>
      <c r="B180" s="57">
        <v>7.4193734386311103</v>
      </c>
      <c r="C180" s="57">
        <v>11.7790568369439</v>
      </c>
      <c r="D180" s="57">
        <v>19.234855075929801</v>
      </c>
      <c r="E180" s="57">
        <v>24.3301576494957</v>
      </c>
      <c r="F180" s="57">
        <v>33.384906435037998</v>
      </c>
      <c r="G180" s="57">
        <v>38.6520343582485</v>
      </c>
      <c r="H180" s="57">
        <v>38.969784314955902</v>
      </c>
      <c r="I180" s="57">
        <v>46.646418061451698</v>
      </c>
      <c r="J180" s="57">
        <v>58.5138554393817</v>
      </c>
      <c r="K180" s="57">
        <v>60.436858058601899</v>
      </c>
      <c r="L180" s="57">
        <v>63.3574638254671</v>
      </c>
      <c r="M180" s="57">
        <v>70.058813057142601</v>
      </c>
      <c r="N180" s="57">
        <v>75.335727069406801</v>
      </c>
      <c r="O180" s="57">
        <v>74.399711434306596</v>
      </c>
      <c r="P180" s="57">
        <v>73.722472748653303</v>
      </c>
      <c r="Q180" s="57">
        <v>75.164019137872998</v>
      </c>
      <c r="R180" s="57">
        <v>70.449673301849401</v>
      </c>
      <c r="S180" s="57">
        <v>72.214754704701093</v>
      </c>
      <c r="T180" s="57">
        <v>75.7906769713952</v>
      </c>
    </row>
    <row r="181" spans="1:20" s="50" customFormat="1" x14ac:dyDescent="0.25">
      <c r="A181" s="51" t="s">
        <v>223</v>
      </c>
      <c r="B181" s="57">
        <v>4.7036670114162904</v>
      </c>
      <c r="C181" s="57">
        <v>6.9765152139492397</v>
      </c>
      <c r="D181" s="58">
        <v>14.147698933985</v>
      </c>
      <c r="E181" s="57">
        <v>28.012407385268499</v>
      </c>
      <c r="F181" s="57">
        <v>29.8359001233373</v>
      </c>
      <c r="G181" s="57">
        <v>39.604650727697297</v>
      </c>
      <c r="H181" s="57">
        <v>50.059123880066302</v>
      </c>
      <c r="I181" s="57">
        <v>47.6342672974029</v>
      </c>
      <c r="J181" s="57">
        <v>51.132316055203503</v>
      </c>
      <c r="K181" s="57">
        <v>55.957245199748201</v>
      </c>
      <c r="L181" s="57">
        <v>53.875550118692502</v>
      </c>
      <c r="M181" s="57">
        <v>58.863363817848402</v>
      </c>
      <c r="N181" s="57">
        <v>62.096814257810898</v>
      </c>
      <c r="O181" s="57">
        <v>58.875360870326404</v>
      </c>
      <c r="P181" s="57">
        <v>59.059807876982802</v>
      </c>
      <c r="Q181" s="57">
        <v>62.2824129624858</v>
      </c>
      <c r="R181" s="57">
        <v>65.622073000917197</v>
      </c>
      <c r="S181" s="57">
        <v>70.140111795308101</v>
      </c>
      <c r="T181" s="57">
        <v>76.2966796632588</v>
      </c>
    </row>
    <row r="182" spans="1:20" s="50" customFormat="1" x14ac:dyDescent="0.25">
      <c r="A182" s="51" t="s">
        <v>224</v>
      </c>
      <c r="B182" s="57">
        <v>8.1028557570519695</v>
      </c>
      <c r="C182" s="57">
        <v>13.7130197625584</v>
      </c>
      <c r="D182" s="57">
        <v>21.002850358752099</v>
      </c>
      <c r="E182" s="57">
        <v>27.178518866437901</v>
      </c>
      <c r="F182" s="57">
        <v>32.665344194300097</v>
      </c>
      <c r="G182" s="57">
        <v>39.002931060433198</v>
      </c>
      <c r="H182" s="57">
        <v>56.549857055744503</v>
      </c>
      <c r="I182" s="57">
        <v>70.570858373907498</v>
      </c>
      <c r="J182" s="57">
        <v>67.509598190063898</v>
      </c>
      <c r="K182" s="57">
        <v>63.634265819834297</v>
      </c>
      <c r="L182" s="57">
        <v>70.477847885330704</v>
      </c>
      <c r="M182" s="57">
        <v>71.046077066891399</v>
      </c>
      <c r="N182" s="57">
        <v>77.050011123011302</v>
      </c>
      <c r="O182" s="57">
        <v>86.072332100541601</v>
      </c>
      <c r="P182" s="57">
        <v>93.014782077342204</v>
      </c>
      <c r="Q182" s="57">
        <v>100.235122888213</v>
      </c>
      <c r="R182" s="57">
        <v>103.28257957834001</v>
      </c>
      <c r="S182" s="57">
        <v>98.437260115621896</v>
      </c>
      <c r="T182" s="57">
        <v>102.06156495632</v>
      </c>
    </row>
    <row r="183" spans="1:20" s="50" customFormat="1" x14ac:dyDescent="0.25">
      <c r="A183" s="51" t="s">
        <v>225</v>
      </c>
      <c r="B183" s="57">
        <v>5.1837507505948697</v>
      </c>
      <c r="C183" s="57">
        <v>6.7198171637671802</v>
      </c>
      <c r="D183" s="57">
        <v>9.5723871291429603</v>
      </c>
      <c r="E183" s="57">
        <v>12.768747392286301</v>
      </c>
      <c r="F183" s="57">
        <v>30.366459480825601</v>
      </c>
      <c r="G183" s="57">
        <v>57.649626235760898</v>
      </c>
      <c r="H183" s="57">
        <v>67.669827730271606</v>
      </c>
      <c r="I183" s="57">
        <v>91.287003577319794</v>
      </c>
      <c r="J183" s="57">
        <v>97.283814649094694</v>
      </c>
      <c r="K183" s="57">
        <v>83.046060847762107</v>
      </c>
      <c r="L183" s="57">
        <v>88.599197736678207</v>
      </c>
      <c r="M183" s="57">
        <v>88.210045633327695</v>
      </c>
      <c r="N183" s="57">
        <v>95.136682697740994</v>
      </c>
      <c r="O183" s="57">
        <v>85.862737132021806</v>
      </c>
      <c r="P183" s="57">
        <v>86.409429724959793</v>
      </c>
      <c r="Q183" s="57">
        <v>84.960411899667207</v>
      </c>
      <c r="R183" s="57">
        <v>90.253848622636497</v>
      </c>
      <c r="S183" s="57">
        <v>88.995831491283596</v>
      </c>
      <c r="T183" s="57">
        <v>91.634411047375707</v>
      </c>
    </row>
    <row r="184" spans="1:20" x14ac:dyDescent="0.25">
      <c r="B184" s="3"/>
      <c r="C184" s="3"/>
      <c r="D184" s="3"/>
      <c r="E184" s="3"/>
      <c r="F184" s="3"/>
      <c r="G184" s="3"/>
      <c r="H184" s="3"/>
      <c r="I184" s="3"/>
      <c r="J184" s="3"/>
      <c r="K184" s="3"/>
      <c r="L184" s="3"/>
      <c r="M184" s="3"/>
      <c r="N184" s="3"/>
      <c r="O184" s="3"/>
      <c r="P184" s="3"/>
      <c r="Q184" s="3"/>
      <c r="R184" s="3"/>
      <c r="S184" s="3"/>
      <c r="T184" s="3"/>
    </row>
    <row r="185" spans="1:20" x14ac:dyDescent="0.25">
      <c r="A185" t="s">
        <v>162</v>
      </c>
      <c r="B185" s="3"/>
      <c r="C185" s="3"/>
      <c r="D185" s="3"/>
      <c r="E185" s="3"/>
      <c r="F185" s="3"/>
      <c r="G185" s="3"/>
      <c r="H185" s="3"/>
      <c r="I185" s="3"/>
      <c r="J185" s="3"/>
      <c r="K185" s="3"/>
      <c r="L185" s="3"/>
      <c r="M185" s="3"/>
      <c r="N185" s="3"/>
      <c r="O185" s="3"/>
      <c r="P185" s="3"/>
      <c r="Q185" s="3"/>
      <c r="R185" s="3"/>
      <c r="S185" s="3"/>
      <c r="T185" s="3"/>
    </row>
    <row r="186" spans="1:20" x14ac:dyDescent="0.25">
      <c r="A186" t="s">
        <v>23</v>
      </c>
      <c r="B186" s="3"/>
      <c r="C186" s="3"/>
      <c r="D186" s="3"/>
      <c r="E186" s="3"/>
      <c r="F186" s="3"/>
      <c r="G186" s="3"/>
      <c r="H186" s="3"/>
      <c r="I186" s="3"/>
      <c r="J186" s="3"/>
      <c r="K186" s="3"/>
      <c r="L186" s="3"/>
      <c r="M186" s="3"/>
      <c r="N186" s="3"/>
      <c r="O186" s="3"/>
      <c r="P186" s="3"/>
      <c r="Q186" s="3"/>
      <c r="R186" s="3"/>
      <c r="S186" s="3"/>
      <c r="T186" s="3"/>
    </row>
    <row r="187" spans="1:20" x14ac:dyDescent="0.25">
      <c r="B187" s="3"/>
      <c r="C187" s="3"/>
      <c r="D187" s="3"/>
      <c r="E187" s="3"/>
      <c r="F187" s="3"/>
      <c r="G187" s="3"/>
      <c r="H187" s="3"/>
      <c r="I187" s="3"/>
      <c r="J187" s="3"/>
      <c r="K187" s="3"/>
      <c r="L187" s="3"/>
      <c r="M187" s="3"/>
      <c r="N187" s="3"/>
      <c r="O187" s="3"/>
      <c r="P187" s="3"/>
      <c r="Q187" s="3"/>
      <c r="R187" s="3"/>
      <c r="S187" s="3"/>
      <c r="T187" s="3"/>
    </row>
    <row r="188" spans="1:20" x14ac:dyDescent="0.25">
      <c r="B188" s="3"/>
      <c r="C188" s="3"/>
      <c r="D188" s="3"/>
      <c r="E188" s="3"/>
      <c r="F188" s="3"/>
      <c r="G188" s="3"/>
      <c r="H188" s="3"/>
      <c r="I188" s="3"/>
      <c r="J188" s="3"/>
      <c r="K188" s="3"/>
      <c r="L188" s="3"/>
      <c r="M188" s="3"/>
      <c r="N188" s="3"/>
      <c r="O188" s="3"/>
      <c r="P188" s="3"/>
      <c r="Q188" s="3"/>
      <c r="R188" s="3"/>
      <c r="S188" s="3"/>
      <c r="T188" s="3"/>
    </row>
    <row r="189" spans="1:20" x14ac:dyDescent="0.25">
      <c r="B189" s="3"/>
      <c r="C189" s="3"/>
      <c r="D189" s="3"/>
      <c r="E189" s="3"/>
      <c r="F189" s="3"/>
      <c r="G189" s="3"/>
      <c r="H189" s="3"/>
      <c r="I189" s="3"/>
      <c r="J189" s="3"/>
      <c r="K189" s="3"/>
      <c r="L189" s="3"/>
      <c r="M189" s="3"/>
      <c r="N189" s="3"/>
      <c r="O189" s="3"/>
      <c r="P189" s="3"/>
      <c r="Q189" s="3"/>
      <c r="R189" s="3"/>
      <c r="S189" s="3"/>
      <c r="T189" s="3"/>
    </row>
    <row r="190" spans="1:20" x14ac:dyDescent="0.25">
      <c r="B190" s="3"/>
      <c r="C190" s="3"/>
      <c r="D190" s="3"/>
      <c r="E190" s="3"/>
      <c r="F190" s="3"/>
      <c r="G190" s="3"/>
      <c r="H190" s="3"/>
      <c r="I190" s="3"/>
      <c r="J190" s="3"/>
      <c r="K190" s="3"/>
      <c r="L190" s="3"/>
      <c r="M190" s="3"/>
      <c r="N190" s="3"/>
      <c r="O190" s="3"/>
      <c r="P190" s="3"/>
      <c r="Q190" s="3"/>
      <c r="R190" s="3"/>
      <c r="S190" s="3"/>
      <c r="T190" s="3"/>
    </row>
    <row r="191" spans="1:20" x14ac:dyDescent="0.25">
      <c r="B191" s="3"/>
      <c r="C191" s="3"/>
      <c r="D191" s="3"/>
      <c r="E191" s="3"/>
      <c r="F191" s="3"/>
      <c r="G191" s="3"/>
      <c r="H191" s="3"/>
      <c r="I191" s="3"/>
      <c r="J191" s="3"/>
      <c r="K191" s="3"/>
      <c r="L191" s="3"/>
      <c r="M191" s="3"/>
      <c r="N191" s="3"/>
      <c r="O191" s="3"/>
      <c r="P191" s="3"/>
      <c r="Q191" s="3"/>
      <c r="R191" s="3"/>
      <c r="S191" s="3"/>
      <c r="T191" s="3"/>
    </row>
    <row r="192" spans="1:20" x14ac:dyDescent="0.25">
      <c r="B192" s="3"/>
      <c r="C192" s="3"/>
      <c r="D192" s="3"/>
      <c r="E192" s="3"/>
      <c r="F192" s="3"/>
      <c r="G192" s="3"/>
      <c r="H192" s="3"/>
      <c r="I192" s="3"/>
      <c r="J192" s="3"/>
      <c r="K192" s="3"/>
      <c r="L192" s="3"/>
      <c r="M192" s="3"/>
      <c r="N192" s="3"/>
      <c r="O192" s="3"/>
      <c r="P192" s="3"/>
      <c r="Q192" s="3"/>
      <c r="R192" s="3"/>
      <c r="S192" s="3"/>
      <c r="T192" s="3"/>
    </row>
    <row r="193" spans="2:20" x14ac:dyDescent="0.25">
      <c r="B193" s="3"/>
      <c r="C193" s="3"/>
      <c r="D193" s="3"/>
      <c r="E193" s="3"/>
      <c r="F193" s="3"/>
      <c r="G193" s="3"/>
      <c r="H193" s="3"/>
      <c r="I193" s="3"/>
      <c r="J193" s="3"/>
      <c r="K193" s="3"/>
      <c r="L193" s="3"/>
      <c r="M193" s="3"/>
      <c r="N193" s="3"/>
      <c r="O193" s="3"/>
      <c r="P193" s="3"/>
      <c r="Q193" s="3"/>
      <c r="R193" s="3"/>
      <c r="S193" s="3"/>
      <c r="T193" s="3"/>
    </row>
    <row r="194" spans="2:20" x14ac:dyDescent="0.25">
      <c r="B194" s="3"/>
      <c r="C194" s="3"/>
      <c r="D194" s="3"/>
      <c r="E194" s="3"/>
      <c r="F194" s="3"/>
      <c r="G194" s="3"/>
      <c r="H194" s="3"/>
      <c r="I194" s="3"/>
      <c r="J194" s="3"/>
      <c r="K194" s="3"/>
      <c r="L194" s="3"/>
      <c r="M194" s="3"/>
      <c r="N194" s="3"/>
      <c r="O194" s="3"/>
      <c r="P194" s="3"/>
      <c r="Q194" s="3"/>
      <c r="R194" s="3"/>
      <c r="S194" s="3"/>
      <c r="T194" s="3"/>
    </row>
    <row r="195" spans="2:20" x14ac:dyDescent="0.25">
      <c r="B195" s="3"/>
      <c r="C195" s="3"/>
      <c r="D195" s="3"/>
      <c r="E195" s="3"/>
      <c r="F195" s="3"/>
      <c r="G195" s="3"/>
      <c r="H195" s="3"/>
      <c r="I195" s="3"/>
      <c r="J195" s="3"/>
      <c r="K195" s="3"/>
      <c r="L195" s="3"/>
      <c r="M195" s="3"/>
      <c r="N195" s="3"/>
      <c r="O195" s="3"/>
      <c r="P195" s="3"/>
      <c r="Q195" s="3"/>
      <c r="R195" s="3"/>
      <c r="S195" s="3"/>
      <c r="T195" s="3"/>
    </row>
    <row r="196" spans="2:20" x14ac:dyDescent="0.25">
      <c r="B196" s="3"/>
      <c r="C196" s="3"/>
      <c r="D196" s="3"/>
      <c r="E196" s="3"/>
      <c r="F196" s="3"/>
      <c r="G196" s="3"/>
      <c r="H196" s="3"/>
      <c r="I196" s="3"/>
      <c r="J196" s="3"/>
      <c r="K196" s="3"/>
      <c r="L196" s="3"/>
      <c r="M196" s="3"/>
      <c r="N196" s="3"/>
      <c r="O196" s="3"/>
      <c r="P196" s="3"/>
      <c r="Q196" s="3"/>
      <c r="R196" s="3"/>
      <c r="S196" s="3"/>
      <c r="T196" s="3"/>
    </row>
    <row r="197" spans="2:20" x14ac:dyDescent="0.25">
      <c r="B197" s="3"/>
      <c r="C197" s="3"/>
      <c r="D197" s="3"/>
      <c r="E197" s="3"/>
      <c r="F197" s="3"/>
      <c r="G197" s="3"/>
      <c r="H197" s="3"/>
      <c r="I197" s="3"/>
      <c r="J197" s="3"/>
      <c r="K197" s="3"/>
      <c r="L197" s="3"/>
      <c r="M197" s="3"/>
      <c r="N197" s="3"/>
      <c r="O197" s="3"/>
      <c r="P197" s="3"/>
      <c r="Q197" s="3"/>
      <c r="R197" s="3"/>
      <c r="S197" s="3"/>
      <c r="T197" s="3"/>
    </row>
    <row r="198" spans="2:20" x14ac:dyDescent="0.25">
      <c r="B198" s="3"/>
      <c r="C198" s="3"/>
      <c r="D198" s="3"/>
      <c r="E198" s="3"/>
      <c r="F198" s="3"/>
      <c r="G198" s="3"/>
      <c r="H198" s="3"/>
      <c r="I198" s="3"/>
      <c r="J198" s="3"/>
      <c r="K198" s="3"/>
      <c r="L198" s="3"/>
      <c r="M198" s="3"/>
      <c r="N198" s="3"/>
      <c r="O198" s="3"/>
      <c r="P198" s="3"/>
      <c r="Q198" s="3"/>
      <c r="R198" s="3"/>
      <c r="S198" s="3"/>
      <c r="T198" s="3"/>
    </row>
    <row r="199" spans="2:20" x14ac:dyDescent="0.25">
      <c r="B199" s="3"/>
      <c r="C199" s="3"/>
      <c r="D199" s="3"/>
      <c r="E199" s="3"/>
      <c r="F199" s="3"/>
      <c r="G199" s="3"/>
      <c r="H199" s="3"/>
      <c r="I199" s="3"/>
      <c r="J199" s="3"/>
      <c r="K199" s="3"/>
      <c r="L199" s="3"/>
      <c r="M199" s="3"/>
      <c r="N199" s="3"/>
      <c r="O199" s="3"/>
      <c r="P199" s="3"/>
      <c r="Q199" s="3"/>
      <c r="R199" s="3"/>
      <c r="S199" s="3"/>
      <c r="T199" s="3"/>
    </row>
    <row r="200" spans="2:20" x14ac:dyDescent="0.25">
      <c r="B200" s="3"/>
      <c r="C200" s="3"/>
      <c r="D200" s="3"/>
      <c r="E200" s="3"/>
      <c r="F200" s="3"/>
      <c r="G200" s="3"/>
      <c r="H200" s="3"/>
      <c r="I200" s="3"/>
      <c r="J200" s="3"/>
      <c r="K200" s="3"/>
      <c r="L200" s="3"/>
      <c r="M200" s="3"/>
      <c r="N200" s="3"/>
      <c r="O200" s="3"/>
      <c r="P200" s="3"/>
      <c r="Q200" s="3"/>
      <c r="R200" s="3"/>
      <c r="S200" s="3"/>
      <c r="T200" s="3"/>
    </row>
    <row r="201" spans="2:20" x14ac:dyDescent="0.25">
      <c r="B201" s="3"/>
      <c r="C201" s="3"/>
      <c r="D201" s="3"/>
      <c r="E201" s="3"/>
      <c r="F201" s="3"/>
      <c r="G201" s="3"/>
      <c r="H201" s="3"/>
      <c r="I201" s="3"/>
      <c r="J201" s="3"/>
      <c r="K201" s="3"/>
      <c r="L201" s="3"/>
      <c r="M201" s="3"/>
      <c r="N201" s="3"/>
      <c r="O201" s="3"/>
      <c r="P201" s="3"/>
      <c r="Q201" s="3"/>
      <c r="R201" s="3"/>
      <c r="S201" s="3"/>
      <c r="T201" s="3"/>
    </row>
    <row r="202" spans="2:20" x14ac:dyDescent="0.25">
      <c r="B202" s="3"/>
      <c r="C202" s="3"/>
      <c r="D202" s="3"/>
      <c r="E202" s="3"/>
      <c r="F202" s="3"/>
      <c r="G202" s="3"/>
      <c r="H202" s="3"/>
      <c r="I202" s="3"/>
      <c r="J202" s="3"/>
      <c r="K202" s="3"/>
      <c r="L202" s="3"/>
      <c r="M202" s="3"/>
      <c r="N202" s="3"/>
      <c r="O202" s="3"/>
      <c r="P202" s="3"/>
      <c r="Q202" s="3"/>
      <c r="R202" s="3"/>
      <c r="S202" s="3"/>
      <c r="T202" s="3"/>
    </row>
    <row r="203" spans="2:20" x14ac:dyDescent="0.25">
      <c r="B203" s="3"/>
      <c r="C203" s="3"/>
      <c r="D203" s="3"/>
      <c r="E203" s="3"/>
      <c r="F203" s="3"/>
      <c r="G203" s="3"/>
      <c r="H203" s="3"/>
      <c r="I203" s="3"/>
      <c r="J203" s="3"/>
      <c r="K203" s="3"/>
      <c r="L203" s="3"/>
      <c r="M203" s="3"/>
      <c r="N203" s="3"/>
      <c r="O203" s="3"/>
      <c r="P203" s="3"/>
      <c r="Q203" s="3"/>
      <c r="R203" s="3"/>
      <c r="S203" s="3"/>
      <c r="T203" s="3"/>
    </row>
    <row r="204" spans="2:20" x14ac:dyDescent="0.25">
      <c r="B204" s="3"/>
      <c r="C204" s="3"/>
      <c r="D204" s="3"/>
      <c r="E204" s="3"/>
      <c r="F204" s="3"/>
      <c r="G204" s="3"/>
      <c r="H204" s="3"/>
      <c r="I204" s="3"/>
      <c r="J204" s="3"/>
      <c r="K204" s="3"/>
      <c r="L204" s="3"/>
      <c r="M204" s="3"/>
      <c r="N204" s="3"/>
      <c r="O204" s="3"/>
      <c r="P204" s="3"/>
      <c r="Q204" s="3"/>
      <c r="R204" s="3"/>
      <c r="S204" s="3"/>
      <c r="T204" s="3"/>
    </row>
    <row r="205" spans="2:20" x14ac:dyDescent="0.25">
      <c r="B205" s="3"/>
      <c r="C205" s="3"/>
      <c r="D205" s="3"/>
      <c r="E205" s="3"/>
      <c r="F205" s="3"/>
      <c r="G205" s="3"/>
      <c r="H205" s="3"/>
      <c r="I205" s="3"/>
      <c r="J205" s="3"/>
      <c r="K205" s="3"/>
      <c r="L205" s="3"/>
      <c r="M205" s="3"/>
      <c r="N205" s="3"/>
      <c r="O205" s="3"/>
      <c r="P205" s="3"/>
      <c r="Q205" s="3"/>
      <c r="R205" s="3"/>
      <c r="S205" s="3"/>
      <c r="T205" s="3"/>
    </row>
    <row r="206" spans="2:20" x14ac:dyDescent="0.25">
      <c r="B206" s="3"/>
      <c r="C206" s="3"/>
      <c r="D206" s="3"/>
      <c r="E206" s="3"/>
      <c r="F206" s="3"/>
      <c r="G206" s="3"/>
      <c r="H206" s="3"/>
      <c r="I206" s="3"/>
      <c r="J206" s="3"/>
      <c r="K206" s="3"/>
      <c r="L206" s="3"/>
      <c r="M206" s="3"/>
      <c r="N206" s="3"/>
      <c r="O206" s="3"/>
      <c r="P206" s="3"/>
      <c r="Q206" s="3"/>
      <c r="R206" s="3"/>
      <c r="S206" s="3"/>
      <c r="T206" s="3"/>
    </row>
    <row r="207" spans="2:20" x14ac:dyDescent="0.25">
      <c r="B207" s="3"/>
      <c r="C207" s="3"/>
      <c r="D207" s="3"/>
      <c r="E207" s="3"/>
      <c r="F207" s="3"/>
      <c r="G207" s="3"/>
      <c r="H207" s="3"/>
      <c r="I207" s="3"/>
      <c r="J207" s="3"/>
      <c r="K207" s="3"/>
      <c r="L207" s="3"/>
      <c r="M207" s="3"/>
      <c r="N207" s="3"/>
      <c r="O207" s="3"/>
      <c r="P207" s="3"/>
      <c r="Q207" s="3"/>
      <c r="R207" s="3"/>
      <c r="S207" s="3"/>
      <c r="T207" s="3"/>
    </row>
    <row r="208" spans="2:20" x14ac:dyDescent="0.25">
      <c r="B208" s="3"/>
      <c r="C208" s="3"/>
      <c r="D208" s="3"/>
      <c r="E208" s="3"/>
      <c r="F208" s="3"/>
      <c r="G208" s="3"/>
      <c r="H208" s="3"/>
      <c r="I208" s="3"/>
      <c r="J208" s="3"/>
      <c r="K208" s="3"/>
      <c r="L208" s="3"/>
      <c r="M208" s="3"/>
      <c r="N208" s="3"/>
      <c r="O208" s="3"/>
      <c r="P208" s="3"/>
      <c r="Q208" s="3"/>
      <c r="R208" s="3"/>
      <c r="S208" s="3"/>
      <c r="T208" s="3"/>
    </row>
    <row r="209" spans="2:20" x14ac:dyDescent="0.25">
      <c r="B209" s="3"/>
      <c r="C209" s="3"/>
      <c r="D209" s="3"/>
      <c r="E209" s="3"/>
      <c r="F209" s="3"/>
      <c r="G209" s="3"/>
      <c r="H209" s="3"/>
      <c r="I209" s="3"/>
      <c r="J209" s="3"/>
      <c r="K209" s="3"/>
      <c r="L209" s="3"/>
      <c r="M209" s="3"/>
      <c r="N209" s="3"/>
      <c r="O209" s="3"/>
      <c r="P209" s="3"/>
      <c r="Q209" s="3"/>
      <c r="R209" s="3"/>
      <c r="S209" s="3"/>
      <c r="T209" s="3"/>
    </row>
  </sheetData>
  <conditionalFormatting sqref="A5:A48">
    <cfRule type="containsText" dxfId="20" priority="18" stopIfTrue="1" operator="containsText" text="estim">
      <formula>NOT(ISERROR(SEARCH("estim",A5)))</formula>
    </cfRule>
  </conditionalFormatting>
  <conditionalFormatting sqref="A50:A93">
    <cfRule type="containsText" dxfId="19" priority="15" stopIfTrue="1" operator="containsText" text="estim">
      <formula>NOT(ISERROR(SEARCH("estim",A50)))</formula>
    </cfRule>
  </conditionalFormatting>
  <conditionalFormatting sqref="A95:A138">
    <cfRule type="containsText" dxfId="18" priority="14" stopIfTrue="1" operator="containsText" text="estim">
      <formula>NOT(ISERROR(SEARCH("estim",A95)))</formula>
    </cfRule>
  </conditionalFormatting>
  <conditionalFormatting sqref="A140:A183">
    <cfRule type="containsText" dxfId="17" priority="13" stopIfTrue="1" operator="containsText" text="estim">
      <formula>NOT(ISERROR(SEARCH("estim",A140)))</formula>
    </cfRule>
  </conditionalFormatting>
  <conditionalFormatting sqref="B5:T48">
    <cfRule type="containsText" dxfId="16" priority="7" stopIfTrue="1" operator="containsText" text="ITU estim">
      <formula>NOT(ISERROR(SEARCH("ITU estim",B5)))</formula>
    </cfRule>
    <cfRule type="containsText" dxfId="15" priority="8" stopIfTrue="1" operator="containsText" text="not publi">
      <formula>NOT(ISERROR(SEARCH("not publi",B5)))</formula>
    </cfRule>
  </conditionalFormatting>
  <conditionalFormatting sqref="B50:T93">
    <cfRule type="containsText" dxfId="14" priority="5" stopIfTrue="1" operator="containsText" text="ITU estim">
      <formula>NOT(ISERROR(SEARCH("ITU estim",B50)))</formula>
    </cfRule>
    <cfRule type="containsText" dxfId="13" priority="6" stopIfTrue="1" operator="containsText" text="not publi">
      <formula>NOT(ISERROR(SEARCH("not publi",B50)))</formula>
    </cfRule>
  </conditionalFormatting>
  <conditionalFormatting sqref="B95:T138">
    <cfRule type="containsText" dxfId="12" priority="3" stopIfTrue="1" operator="containsText" text="ITU estim">
      <formula>NOT(ISERROR(SEARCH("ITU estim",B95)))</formula>
    </cfRule>
    <cfRule type="containsText" dxfId="11" priority="4" stopIfTrue="1" operator="containsText" text="not publi">
      <formula>NOT(ISERROR(SEARCH("not publi",B95)))</formula>
    </cfRule>
  </conditionalFormatting>
  <conditionalFormatting sqref="B140:T183">
    <cfRule type="containsText" dxfId="10" priority="1" stopIfTrue="1" operator="containsText" text="ITU estim">
      <formula>NOT(ISERROR(SEARCH("ITU estim",B140)))</formula>
    </cfRule>
    <cfRule type="containsText" dxfId="9" priority="2" stopIfTrue="1" operator="containsText" text="not publi">
      <formula>NOT(ISERROR(SEARCH("not publi",B140)))</formula>
    </cfRule>
  </conditionalFormatting>
  <hyperlinks>
    <hyperlink ref="T1" location="Contents!A1" display="Return to Contents" xr:uid="{31395AA6-6B0B-47F3-AD38-AF925BCF91A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1BA6C-20A8-4FF0-82CB-B70AC767C5B1}">
  <sheetPr codeName="Sheet8"/>
  <dimension ref="A1:T140"/>
  <sheetViews>
    <sheetView workbookViewId="0"/>
  </sheetViews>
  <sheetFormatPr defaultRowHeight="15" x14ac:dyDescent="0.25"/>
  <cols>
    <col min="1" max="1" width="41.28515625" customWidth="1"/>
  </cols>
  <sheetData>
    <row r="1" spans="1:20" x14ac:dyDescent="0.25">
      <c r="A1" s="1" t="s">
        <v>37</v>
      </c>
      <c r="R1" s="34" t="s">
        <v>17</v>
      </c>
    </row>
    <row r="3" spans="1:20" x14ac:dyDescent="0.25">
      <c r="A3" s="6"/>
      <c r="B3" s="6">
        <v>2005</v>
      </c>
      <c r="C3" s="6">
        <v>2006</v>
      </c>
      <c r="D3" s="6">
        <v>2007</v>
      </c>
      <c r="E3" s="6">
        <v>2008</v>
      </c>
      <c r="F3" s="6">
        <v>2009</v>
      </c>
      <c r="G3" s="6">
        <v>2010</v>
      </c>
      <c r="H3" s="6">
        <v>2011</v>
      </c>
      <c r="I3" s="6">
        <v>2012</v>
      </c>
      <c r="J3" s="6">
        <v>2013</v>
      </c>
      <c r="K3" s="6">
        <v>2014</v>
      </c>
      <c r="L3" s="6">
        <v>2015</v>
      </c>
      <c r="M3" s="6">
        <v>2016</v>
      </c>
      <c r="N3" s="6">
        <v>2017</v>
      </c>
      <c r="O3" s="6">
        <v>2018</v>
      </c>
      <c r="P3" s="6">
        <v>2019</v>
      </c>
      <c r="Q3" s="6">
        <v>2020</v>
      </c>
      <c r="R3" s="6">
        <v>2021</v>
      </c>
      <c r="S3" s="6">
        <v>2022</v>
      </c>
      <c r="T3" s="6">
        <v>2023</v>
      </c>
    </row>
    <row r="4" spans="1:20" x14ac:dyDescent="0.25">
      <c r="A4" s="9" t="s">
        <v>38</v>
      </c>
      <c r="B4" s="11"/>
      <c r="C4" s="11"/>
      <c r="D4" s="11"/>
      <c r="E4" s="11"/>
      <c r="F4" s="11"/>
      <c r="G4" s="11"/>
      <c r="H4" s="11"/>
      <c r="I4" s="11"/>
      <c r="J4" s="11"/>
      <c r="K4" s="11"/>
      <c r="L4" s="11"/>
      <c r="M4" s="11"/>
      <c r="N4" s="11"/>
      <c r="O4" s="11"/>
      <c r="P4" s="11"/>
      <c r="Q4" s="11"/>
      <c r="R4" s="11"/>
      <c r="S4" s="11"/>
      <c r="T4" s="11"/>
    </row>
    <row r="5" spans="1:20" x14ac:dyDescent="0.25">
      <c r="A5" s="51" t="s">
        <v>183</v>
      </c>
      <c r="B5" s="3" t="s">
        <v>89</v>
      </c>
      <c r="C5" s="3" t="s">
        <v>89</v>
      </c>
      <c r="D5" s="3" t="s">
        <v>89</v>
      </c>
      <c r="E5" s="3" t="s">
        <v>89</v>
      </c>
      <c r="F5" s="3" t="s">
        <v>89</v>
      </c>
      <c r="G5" s="3" t="s">
        <v>89</v>
      </c>
      <c r="H5" s="3">
        <v>52.791300499462601</v>
      </c>
      <c r="I5" s="3">
        <v>52.554602184087386</v>
      </c>
      <c r="J5" s="3">
        <v>66.555964455614415</v>
      </c>
      <c r="K5" s="3">
        <v>35.128205128205018</v>
      </c>
      <c r="L5" s="3">
        <v>8.5693262399802013</v>
      </c>
      <c r="M5" s="3">
        <v>23.726452953118404</v>
      </c>
      <c r="N5" s="3">
        <v>34.249218419505013</v>
      </c>
      <c r="O5" s="3">
        <v>32.677686403008202</v>
      </c>
      <c r="P5" s="3">
        <v>23.844357845936784</v>
      </c>
      <c r="Q5" s="3">
        <v>24.245366865268782</v>
      </c>
      <c r="R5" s="3">
        <v>22.746599899256285</v>
      </c>
      <c r="S5" s="3">
        <v>16.03773584905661</v>
      </c>
      <c r="T5" s="3">
        <v>19.139546907655674</v>
      </c>
    </row>
    <row r="6" spans="1:20" x14ac:dyDescent="0.25">
      <c r="A6" s="51" t="s">
        <v>184</v>
      </c>
      <c r="B6" s="3" t="s">
        <v>89</v>
      </c>
      <c r="C6" s="3" t="s">
        <v>89</v>
      </c>
      <c r="D6" s="3" t="s">
        <v>89</v>
      </c>
      <c r="E6" s="3">
        <v>23.717948717948691</v>
      </c>
      <c r="F6" s="3">
        <v>9.3961492051833506</v>
      </c>
      <c r="G6" s="3">
        <v>11.097136938669831</v>
      </c>
      <c r="H6" s="3">
        <v>10.376981483948331</v>
      </c>
      <c r="I6" s="3">
        <v>11.965709633389999</v>
      </c>
      <c r="J6" s="3" t="s">
        <v>89</v>
      </c>
      <c r="K6" s="3">
        <v>9.4189656311235375</v>
      </c>
      <c r="L6" s="3">
        <v>5.4679715545363914</v>
      </c>
      <c r="M6" s="3" t="s">
        <v>89</v>
      </c>
      <c r="N6" s="3">
        <v>58.500786300891228</v>
      </c>
      <c r="O6" s="3">
        <v>57.32041133387591</v>
      </c>
      <c r="P6" s="3">
        <v>44.375860035384207</v>
      </c>
      <c r="Q6" s="3">
        <v>42.990560688435998</v>
      </c>
      <c r="R6" s="3">
        <v>7.0699743701339832</v>
      </c>
      <c r="S6" s="3">
        <v>6.2149843319722846</v>
      </c>
      <c r="T6" s="3">
        <v>10.774271140048912</v>
      </c>
    </row>
    <row r="7" spans="1:20" x14ac:dyDescent="0.25">
      <c r="A7" s="51" t="s">
        <v>185</v>
      </c>
      <c r="B7" s="3" t="s">
        <v>89</v>
      </c>
      <c r="C7" s="3" t="s">
        <v>89</v>
      </c>
      <c r="D7" s="3" t="s">
        <v>89</v>
      </c>
      <c r="E7" s="3" t="s">
        <v>89</v>
      </c>
      <c r="F7" s="3" t="s">
        <v>89</v>
      </c>
      <c r="G7" s="3" t="s">
        <v>89</v>
      </c>
      <c r="H7" s="3" t="s">
        <v>89</v>
      </c>
      <c r="I7" s="3" t="s">
        <v>89</v>
      </c>
      <c r="J7" s="3" t="s">
        <v>89</v>
      </c>
      <c r="K7" s="3">
        <v>43.625713427455558</v>
      </c>
      <c r="L7" s="3">
        <v>34.172886416067286</v>
      </c>
      <c r="M7" s="3">
        <v>71.021216790558</v>
      </c>
      <c r="N7" s="3">
        <v>51.261022383918032</v>
      </c>
      <c r="O7" s="3">
        <v>58.395764658875535</v>
      </c>
      <c r="P7" s="3">
        <v>56.828562107495372</v>
      </c>
      <c r="Q7" s="3">
        <v>21.709766389288301</v>
      </c>
      <c r="R7" s="3">
        <v>10.785719110484008</v>
      </c>
      <c r="S7" s="3">
        <v>4.9016947926275654</v>
      </c>
      <c r="T7" s="3">
        <v>0.36061813495394796</v>
      </c>
    </row>
    <row r="8" spans="1:20" x14ac:dyDescent="0.25">
      <c r="A8" s="51" t="s">
        <v>186</v>
      </c>
      <c r="B8" s="3" t="s">
        <v>89</v>
      </c>
      <c r="C8" s="3" t="s">
        <v>89</v>
      </c>
      <c r="D8" s="3">
        <v>100</v>
      </c>
      <c r="E8" s="3">
        <v>15.361387103058648</v>
      </c>
      <c r="F8" s="3">
        <v>17.117267933372347</v>
      </c>
      <c r="G8" s="3">
        <v>27.077708865377559</v>
      </c>
      <c r="H8" s="3" t="s">
        <v>89</v>
      </c>
      <c r="I8" s="3" t="s">
        <v>89</v>
      </c>
      <c r="J8" s="3" t="s">
        <v>89</v>
      </c>
      <c r="K8" s="3">
        <v>98.520710059171719</v>
      </c>
      <c r="L8" s="3">
        <v>93.959803292709111</v>
      </c>
      <c r="M8" s="3">
        <v>88.945413436692562</v>
      </c>
      <c r="N8" s="3">
        <v>75.802928565650021</v>
      </c>
      <c r="O8" s="3">
        <v>75.502967144304563</v>
      </c>
      <c r="P8" s="3">
        <v>67.274240532667534</v>
      </c>
      <c r="Q8" s="3">
        <v>4.3851491522998751</v>
      </c>
      <c r="R8" s="3">
        <v>0.39899330918912246</v>
      </c>
      <c r="S8" s="3" t="s">
        <v>89</v>
      </c>
      <c r="T8" s="3" t="s">
        <v>89</v>
      </c>
    </row>
    <row r="9" spans="1:20" x14ac:dyDescent="0.25">
      <c r="A9" s="51" t="s">
        <v>187</v>
      </c>
      <c r="B9" s="3" t="s">
        <v>89</v>
      </c>
      <c r="C9" s="3" t="s">
        <v>89</v>
      </c>
      <c r="D9" s="3" t="s">
        <v>89</v>
      </c>
      <c r="E9" s="3" t="s">
        <v>89</v>
      </c>
      <c r="F9" s="3" t="s">
        <v>89</v>
      </c>
      <c r="G9" s="3">
        <v>7.9545454545454541</v>
      </c>
      <c r="H9" s="3">
        <v>56.338028169014123</v>
      </c>
      <c r="I9" s="3">
        <v>49.002849002848961</v>
      </c>
      <c r="J9" s="3" t="s">
        <v>89</v>
      </c>
      <c r="K9" s="3" t="s">
        <v>89</v>
      </c>
      <c r="L9" s="3">
        <v>91.08625045110081</v>
      </c>
      <c r="M9" s="3">
        <v>92.388289676425202</v>
      </c>
      <c r="N9" s="3">
        <v>88.451711803781265</v>
      </c>
      <c r="O9" s="3">
        <v>79.872935196950436</v>
      </c>
      <c r="P9" s="3">
        <v>78.925726034438625</v>
      </c>
      <c r="Q9" s="3">
        <v>64.633569739952506</v>
      </c>
      <c r="R9" s="3">
        <v>66.101694915254171</v>
      </c>
      <c r="S9" s="3">
        <v>69.612983770287116</v>
      </c>
      <c r="T9" s="3">
        <v>38.81508078994618</v>
      </c>
    </row>
    <row r="10" spans="1:20" x14ac:dyDescent="0.25">
      <c r="A10" s="51" t="s">
        <v>189</v>
      </c>
      <c r="B10" s="3" t="s">
        <v>89</v>
      </c>
      <c r="C10" s="3" t="s">
        <v>89</v>
      </c>
      <c r="D10" s="3" t="s">
        <v>89</v>
      </c>
      <c r="E10" s="3" t="s">
        <v>89</v>
      </c>
      <c r="F10" s="3" t="s">
        <v>89</v>
      </c>
      <c r="G10" s="3" t="s">
        <v>89</v>
      </c>
      <c r="H10" s="3" t="s">
        <v>89</v>
      </c>
      <c r="I10" s="3">
        <v>35.702412733591892</v>
      </c>
      <c r="J10" s="3" t="s">
        <v>89</v>
      </c>
      <c r="K10" s="3">
        <v>36.375550429859402</v>
      </c>
      <c r="L10" s="3" t="s">
        <v>89</v>
      </c>
      <c r="M10" s="3" t="s">
        <v>89</v>
      </c>
      <c r="N10" s="3" t="s">
        <v>89</v>
      </c>
      <c r="O10" s="3" t="s">
        <v>89</v>
      </c>
      <c r="P10" s="3" t="s">
        <v>89</v>
      </c>
      <c r="Q10" s="3" t="s">
        <v>89</v>
      </c>
      <c r="R10" s="3" t="s">
        <v>89</v>
      </c>
      <c r="S10" s="3" t="s">
        <v>89</v>
      </c>
      <c r="T10" s="3" t="s">
        <v>89</v>
      </c>
    </row>
    <row r="11" spans="1:20" x14ac:dyDescent="0.25">
      <c r="A11" s="51" t="s">
        <v>188</v>
      </c>
      <c r="B11" s="3" t="s">
        <v>89</v>
      </c>
      <c r="C11" s="3" t="s">
        <v>89</v>
      </c>
      <c r="D11" s="3" t="s">
        <v>89</v>
      </c>
      <c r="E11" s="3" t="s">
        <v>89</v>
      </c>
      <c r="F11" s="3" t="s">
        <v>89</v>
      </c>
      <c r="G11" s="3" t="s">
        <v>89</v>
      </c>
      <c r="H11" s="3" t="s">
        <v>89</v>
      </c>
      <c r="I11" s="3" t="s">
        <v>89</v>
      </c>
      <c r="J11" s="3" t="s">
        <v>89</v>
      </c>
      <c r="K11" s="3" t="s">
        <v>89</v>
      </c>
      <c r="L11" s="3" t="s">
        <v>89</v>
      </c>
      <c r="M11" s="3">
        <v>12.60317834536337</v>
      </c>
      <c r="N11" s="3">
        <v>4.8258438426814738</v>
      </c>
      <c r="O11" s="3">
        <v>4.5443176449484861</v>
      </c>
      <c r="P11" s="3">
        <v>5.4865075861312107</v>
      </c>
      <c r="Q11" s="3">
        <v>5.0698954716370173</v>
      </c>
      <c r="R11" s="3">
        <v>92.483426415947775</v>
      </c>
      <c r="S11" s="3">
        <v>94.475669757462697</v>
      </c>
      <c r="T11" s="3"/>
    </row>
    <row r="12" spans="1:20" x14ac:dyDescent="0.25">
      <c r="A12" s="51" t="s">
        <v>190</v>
      </c>
      <c r="B12" s="3" t="s">
        <v>89</v>
      </c>
      <c r="C12" s="3" t="s">
        <v>89</v>
      </c>
      <c r="D12" s="3" t="s">
        <v>89</v>
      </c>
      <c r="E12" s="3" t="s">
        <v>89</v>
      </c>
      <c r="F12" s="3" t="s">
        <v>89</v>
      </c>
      <c r="G12" s="3" t="s">
        <v>89</v>
      </c>
      <c r="H12" s="3" t="s">
        <v>89</v>
      </c>
      <c r="I12" s="3" t="s">
        <v>89</v>
      </c>
      <c r="J12" s="3" t="s">
        <v>89</v>
      </c>
      <c r="K12" s="3" t="s">
        <v>89</v>
      </c>
      <c r="L12" s="3">
        <v>92.518837459633858</v>
      </c>
      <c r="M12" s="3">
        <v>71.195652173912805</v>
      </c>
      <c r="N12" s="3">
        <v>67.689822294022491</v>
      </c>
      <c r="O12" s="3">
        <v>67.927631578947612</v>
      </c>
      <c r="P12" s="3">
        <v>75.35070140280564</v>
      </c>
      <c r="Q12" s="3" t="s">
        <v>89</v>
      </c>
      <c r="R12" s="3" t="s">
        <v>89</v>
      </c>
      <c r="S12" s="3" t="s">
        <v>89</v>
      </c>
      <c r="T12" s="3" t="s">
        <v>89</v>
      </c>
    </row>
    <row r="13" spans="1:20" x14ac:dyDescent="0.25">
      <c r="A13" s="51" t="s">
        <v>191</v>
      </c>
      <c r="B13" s="3" t="s">
        <v>89</v>
      </c>
      <c r="C13" s="3" t="s">
        <v>89</v>
      </c>
      <c r="D13" s="3" t="s">
        <v>89</v>
      </c>
      <c r="E13" s="3" t="s">
        <v>89</v>
      </c>
      <c r="F13" s="3" t="s">
        <v>89</v>
      </c>
      <c r="G13" s="3" t="s">
        <v>89</v>
      </c>
      <c r="H13" s="3" t="s">
        <v>89</v>
      </c>
      <c r="I13" s="3" t="s">
        <v>89</v>
      </c>
      <c r="J13" s="3" t="s">
        <v>89</v>
      </c>
      <c r="K13" s="3" t="s">
        <v>89</v>
      </c>
      <c r="L13" s="3" t="s">
        <v>89</v>
      </c>
      <c r="M13" s="3">
        <v>100</v>
      </c>
      <c r="N13" s="3">
        <v>100</v>
      </c>
      <c r="O13" s="3">
        <v>100</v>
      </c>
      <c r="P13" s="3">
        <v>100</v>
      </c>
      <c r="Q13" s="3" t="s">
        <v>89</v>
      </c>
      <c r="R13" s="3" t="s">
        <v>89</v>
      </c>
      <c r="S13" s="3" t="s">
        <v>89</v>
      </c>
      <c r="T13" s="3" t="s">
        <v>89</v>
      </c>
    </row>
    <row r="14" spans="1:20" x14ac:dyDescent="0.25">
      <c r="A14" s="51" t="s">
        <v>192</v>
      </c>
      <c r="B14" s="3" t="s">
        <v>89</v>
      </c>
      <c r="C14" s="3" t="s">
        <v>89</v>
      </c>
      <c r="D14" s="3" t="s">
        <v>89</v>
      </c>
      <c r="E14" s="3" t="s">
        <v>89</v>
      </c>
      <c r="F14" s="3" t="s">
        <v>89</v>
      </c>
      <c r="G14" s="3" t="s">
        <v>89</v>
      </c>
      <c r="H14" s="3" t="s">
        <v>89</v>
      </c>
      <c r="I14" s="3" t="s">
        <v>89</v>
      </c>
      <c r="J14" s="3" t="s">
        <v>89</v>
      </c>
      <c r="K14" s="3" t="s">
        <v>89</v>
      </c>
      <c r="L14" s="3" t="s">
        <v>89</v>
      </c>
      <c r="M14" s="3" t="s">
        <v>89</v>
      </c>
      <c r="N14" s="3" t="s">
        <v>89</v>
      </c>
      <c r="O14" s="3" t="s">
        <v>89</v>
      </c>
      <c r="P14" s="3" t="s">
        <v>89</v>
      </c>
      <c r="Q14" s="3" t="s">
        <v>89</v>
      </c>
      <c r="R14" s="3">
        <v>2.5104049679593081</v>
      </c>
      <c r="S14" s="3" t="s">
        <v>89</v>
      </c>
      <c r="T14" s="3" t="s">
        <v>89</v>
      </c>
    </row>
    <row r="15" spans="1:20" x14ac:dyDescent="0.25">
      <c r="A15" s="51" t="s">
        <v>193</v>
      </c>
      <c r="B15" s="3" t="s">
        <v>89</v>
      </c>
      <c r="C15" s="3" t="s">
        <v>89</v>
      </c>
      <c r="D15" s="3" t="s">
        <v>89</v>
      </c>
      <c r="E15" s="3" t="s">
        <v>89</v>
      </c>
      <c r="F15" s="3" t="s">
        <v>89</v>
      </c>
      <c r="G15" s="3" t="s">
        <v>89</v>
      </c>
      <c r="H15" s="3" t="s">
        <v>89</v>
      </c>
      <c r="I15" s="3" t="s">
        <v>89</v>
      </c>
      <c r="J15" s="3" t="s">
        <v>89</v>
      </c>
      <c r="K15" s="3">
        <v>33.854655241728821</v>
      </c>
      <c r="L15" s="3">
        <v>38.980192695087915</v>
      </c>
      <c r="M15" s="3">
        <v>38.416923302536979</v>
      </c>
      <c r="N15" s="3">
        <v>65.504638543672328</v>
      </c>
      <c r="O15" s="3">
        <v>63.419888811832735</v>
      </c>
      <c r="P15" s="3">
        <v>56.145863613921918</v>
      </c>
      <c r="Q15" s="3">
        <v>48.258790220759892</v>
      </c>
      <c r="R15" s="3">
        <v>16.487534361466118</v>
      </c>
      <c r="S15" s="3">
        <v>10.308240600080966</v>
      </c>
      <c r="T15" s="3" t="s">
        <v>89</v>
      </c>
    </row>
    <row r="16" spans="1:20" x14ac:dyDescent="0.25">
      <c r="A16" s="51" t="s">
        <v>249</v>
      </c>
      <c r="B16" s="3" t="s">
        <v>89</v>
      </c>
      <c r="C16" s="3" t="s">
        <v>89</v>
      </c>
      <c r="D16" s="3" t="s">
        <v>89</v>
      </c>
      <c r="E16" s="3" t="s">
        <v>89</v>
      </c>
      <c r="F16" s="3" t="s">
        <v>89</v>
      </c>
      <c r="G16" s="3" t="s">
        <v>89</v>
      </c>
      <c r="H16" s="3" t="s">
        <v>89</v>
      </c>
      <c r="I16" s="3" t="s">
        <v>89</v>
      </c>
      <c r="J16" s="3" t="s">
        <v>89</v>
      </c>
      <c r="K16" s="3" t="s">
        <v>89</v>
      </c>
      <c r="L16" s="3" t="s">
        <v>89</v>
      </c>
      <c r="M16" s="3" t="s">
        <v>89</v>
      </c>
      <c r="N16" s="3" t="s">
        <v>89</v>
      </c>
      <c r="O16" s="3" t="s">
        <v>89</v>
      </c>
      <c r="P16" s="3" t="s">
        <v>89</v>
      </c>
      <c r="Q16" s="3" t="s">
        <v>89</v>
      </c>
      <c r="R16" s="3">
        <v>100</v>
      </c>
      <c r="S16" s="3">
        <v>100</v>
      </c>
      <c r="T16" s="3">
        <v>100</v>
      </c>
    </row>
    <row r="17" spans="1:20" x14ac:dyDescent="0.25">
      <c r="A17" s="51" t="s">
        <v>194</v>
      </c>
      <c r="B17" s="3" t="s">
        <v>89</v>
      </c>
      <c r="C17" s="3" t="s">
        <v>89</v>
      </c>
      <c r="D17" s="3" t="s">
        <v>89</v>
      </c>
      <c r="E17" s="3" t="s">
        <v>89</v>
      </c>
      <c r="F17" s="3" t="s">
        <v>89</v>
      </c>
      <c r="G17" s="3" t="s">
        <v>89</v>
      </c>
      <c r="H17" s="3" t="s">
        <v>89</v>
      </c>
      <c r="I17" s="3" t="s">
        <v>89</v>
      </c>
      <c r="J17" s="3" t="s">
        <v>89</v>
      </c>
      <c r="K17" s="3" t="s">
        <v>89</v>
      </c>
      <c r="L17" s="3">
        <v>89.339299815740844</v>
      </c>
      <c r="M17" s="3">
        <v>13.719692489651084</v>
      </c>
      <c r="N17" s="3">
        <v>6.2730627306272897</v>
      </c>
      <c r="O17" s="3">
        <v>26.851851851851759</v>
      </c>
      <c r="P17" s="3" t="s">
        <v>89</v>
      </c>
      <c r="Q17" s="3" t="s">
        <v>89</v>
      </c>
      <c r="R17" s="3" t="s">
        <v>89</v>
      </c>
      <c r="S17" s="3">
        <v>0.4955947136563878</v>
      </c>
      <c r="T17" s="3" t="s">
        <v>89</v>
      </c>
    </row>
    <row r="18" spans="1:20" x14ac:dyDescent="0.25">
      <c r="A18" s="51" t="s">
        <v>195</v>
      </c>
      <c r="B18" s="3" t="s">
        <v>89</v>
      </c>
      <c r="C18" s="3" t="s">
        <v>89</v>
      </c>
      <c r="D18" s="3" t="s">
        <v>89</v>
      </c>
      <c r="E18" s="3" t="s">
        <v>89</v>
      </c>
      <c r="F18" s="3" t="s">
        <v>89</v>
      </c>
      <c r="G18" s="3" t="s">
        <v>89</v>
      </c>
      <c r="H18" s="3" t="s">
        <v>89</v>
      </c>
      <c r="I18" s="3">
        <v>7.5675675675675595</v>
      </c>
      <c r="J18" s="3">
        <v>10.958904109589044</v>
      </c>
      <c r="K18" s="3" t="s">
        <v>89</v>
      </c>
      <c r="L18" s="3" t="s">
        <v>89</v>
      </c>
      <c r="M18" s="3">
        <v>83.333333333333428</v>
      </c>
      <c r="N18" s="3" t="s">
        <v>89</v>
      </c>
      <c r="O18" s="3" t="s">
        <v>89</v>
      </c>
      <c r="P18" s="3" t="s">
        <v>89</v>
      </c>
      <c r="Q18" s="3" t="s">
        <v>89</v>
      </c>
      <c r="R18" s="3" t="s">
        <v>89</v>
      </c>
      <c r="S18" s="3" t="s">
        <v>89</v>
      </c>
      <c r="T18" s="3" t="s">
        <v>89</v>
      </c>
    </row>
    <row r="19" spans="1:20" x14ac:dyDescent="0.25">
      <c r="A19" s="51" t="s">
        <v>196</v>
      </c>
      <c r="B19" s="3" t="s">
        <v>89</v>
      </c>
      <c r="C19" s="3" t="s">
        <v>89</v>
      </c>
      <c r="D19" s="3" t="e">
        <v>#DIV/0!</v>
      </c>
      <c r="E19" s="3">
        <v>11.010362694300515</v>
      </c>
      <c r="F19" s="3" t="s">
        <v>89</v>
      </c>
      <c r="G19" s="3">
        <v>52.022963367960607</v>
      </c>
      <c r="H19" s="3">
        <v>26.794616151545377</v>
      </c>
      <c r="I19" s="3">
        <v>75.823855351414224</v>
      </c>
      <c r="J19" s="3" t="s">
        <v>89</v>
      </c>
      <c r="K19" s="3" t="s">
        <v>89</v>
      </c>
      <c r="L19" s="3" t="s">
        <v>89</v>
      </c>
      <c r="M19" s="3" t="s">
        <v>89</v>
      </c>
      <c r="N19" s="3" t="s">
        <v>89</v>
      </c>
      <c r="O19" s="3" t="s">
        <v>89</v>
      </c>
      <c r="P19" s="3" t="s">
        <v>89</v>
      </c>
      <c r="Q19" s="3" t="s">
        <v>89</v>
      </c>
      <c r="R19" s="3" t="s">
        <v>89</v>
      </c>
      <c r="S19" s="3">
        <v>10.789503322446187</v>
      </c>
      <c r="T19" s="3">
        <v>9.015790866586304</v>
      </c>
    </row>
    <row r="20" spans="1:20" x14ac:dyDescent="0.25">
      <c r="A20" s="51" t="s">
        <v>197</v>
      </c>
      <c r="B20" s="3" t="s">
        <v>89</v>
      </c>
      <c r="C20" s="3" t="s">
        <v>89</v>
      </c>
      <c r="D20" s="3" t="s">
        <v>89</v>
      </c>
      <c r="E20" s="3" t="s">
        <v>89</v>
      </c>
      <c r="F20" s="3" t="s">
        <v>89</v>
      </c>
      <c r="G20" s="3" t="s">
        <v>89</v>
      </c>
      <c r="H20" s="3" t="s">
        <v>89</v>
      </c>
      <c r="I20" s="3" t="s">
        <v>89</v>
      </c>
      <c r="J20" s="3" t="s">
        <v>89</v>
      </c>
      <c r="K20" s="3">
        <v>19.999999999999979</v>
      </c>
      <c r="L20" s="3">
        <v>21.811087866108743</v>
      </c>
      <c r="M20" s="3">
        <v>23.1228980322003</v>
      </c>
      <c r="N20" s="3">
        <v>74.833995234313022</v>
      </c>
      <c r="O20" s="3" t="s">
        <v>89</v>
      </c>
      <c r="P20" s="3" t="s">
        <v>89</v>
      </c>
      <c r="Q20" s="3" t="s">
        <v>89</v>
      </c>
      <c r="R20" s="3">
        <v>0.36900369003690042</v>
      </c>
      <c r="S20" s="3">
        <v>0.33203463050550597</v>
      </c>
      <c r="T20" s="3" t="s">
        <v>89</v>
      </c>
    </row>
    <row r="21" spans="1:20" x14ac:dyDescent="0.25">
      <c r="A21" s="51" t="s">
        <v>198</v>
      </c>
      <c r="B21" s="3" t="s">
        <v>89</v>
      </c>
      <c r="C21" s="3" t="s">
        <v>89</v>
      </c>
      <c r="D21" s="3" t="s">
        <v>89</v>
      </c>
      <c r="E21" s="3" t="s">
        <v>89</v>
      </c>
      <c r="F21" s="3" t="s">
        <v>89</v>
      </c>
      <c r="G21" s="3" t="s">
        <v>89</v>
      </c>
      <c r="H21" s="3" t="s">
        <v>89</v>
      </c>
      <c r="I21" s="3" t="s">
        <v>89</v>
      </c>
      <c r="J21" s="3" t="s">
        <v>89</v>
      </c>
      <c r="K21" s="3" t="s">
        <v>89</v>
      </c>
      <c r="L21" s="3" t="s">
        <v>89</v>
      </c>
      <c r="M21" s="3" t="s">
        <v>89</v>
      </c>
      <c r="N21" s="3" t="s">
        <v>89</v>
      </c>
      <c r="O21" s="3" t="s">
        <v>89</v>
      </c>
      <c r="P21" s="3" t="s">
        <v>89</v>
      </c>
      <c r="Q21" s="3">
        <v>9.8639227027148405E-2</v>
      </c>
      <c r="R21" s="3">
        <v>6.0301188568164153E-2</v>
      </c>
      <c r="S21" s="3">
        <v>6.7207646736695548E-2</v>
      </c>
      <c r="T21" s="3">
        <v>2.0259524508959802E-2</v>
      </c>
    </row>
    <row r="22" spans="1:20" x14ac:dyDescent="0.25">
      <c r="A22" s="51" t="s">
        <v>199</v>
      </c>
      <c r="B22" s="3" t="s">
        <v>89</v>
      </c>
      <c r="C22" s="3" t="s">
        <v>89</v>
      </c>
      <c r="D22" s="3" t="s">
        <v>89</v>
      </c>
      <c r="E22" s="3" t="s">
        <v>89</v>
      </c>
      <c r="F22" s="3" t="s">
        <v>89</v>
      </c>
      <c r="G22" s="3" t="s">
        <v>89</v>
      </c>
      <c r="H22" s="3" t="s">
        <v>89</v>
      </c>
      <c r="I22" s="3" t="s">
        <v>89</v>
      </c>
      <c r="J22" s="3" t="s">
        <v>89</v>
      </c>
      <c r="K22" s="3" t="s">
        <v>89</v>
      </c>
      <c r="L22" s="3">
        <v>97.56507136859787</v>
      </c>
      <c r="M22" s="3">
        <v>97.199999999999733</v>
      </c>
      <c r="N22" s="3" t="s">
        <v>89</v>
      </c>
      <c r="O22" s="3">
        <v>60.0045116174147</v>
      </c>
      <c r="P22" s="3" t="s">
        <v>89</v>
      </c>
      <c r="Q22" s="3" t="s">
        <v>89</v>
      </c>
      <c r="R22" s="3" t="s">
        <v>89</v>
      </c>
      <c r="S22" s="3" t="s">
        <v>89</v>
      </c>
      <c r="T22" s="3" t="s">
        <v>89</v>
      </c>
    </row>
    <row r="23" spans="1:20" x14ac:dyDescent="0.25">
      <c r="A23" s="51" t="s">
        <v>200</v>
      </c>
      <c r="B23" s="3" t="s">
        <v>89</v>
      </c>
      <c r="C23" s="3" t="s">
        <v>89</v>
      </c>
      <c r="D23" s="3" t="s">
        <v>89</v>
      </c>
      <c r="E23" s="3" t="s">
        <v>89</v>
      </c>
      <c r="F23" s="3">
        <v>90.373578395126657</v>
      </c>
      <c r="G23" s="3">
        <v>94.729768647403162</v>
      </c>
      <c r="H23" s="3">
        <v>84.064222014152506</v>
      </c>
      <c r="I23" s="3">
        <v>94.575236305994096</v>
      </c>
      <c r="J23" s="3" t="s">
        <v>89</v>
      </c>
      <c r="K23" s="3" t="s">
        <v>89</v>
      </c>
      <c r="L23" s="3" t="s">
        <v>89</v>
      </c>
      <c r="M23" s="3" t="s">
        <v>89</v>
      </c>
      <c r="N23" s="3" t="s">
        <v>89</v>
      </c>
      <c r="O23" s="3" t="s">
        <v>89</v>
      </c>
      <c r="P23" s="3" t="s">
        <v>89</v>
      </c>
      <c r="Q23" s="3" t="s">
        <v>89</v>
      </c>
      <c r="R23" s="3" t="s">
        <v>89</v>
      </c>
      <c r="S23" s="3" t="s">
        <v>89</v>
      </c>
      <c r="T23" s="3" t="s">
        <v>89</v>
      </c>
    </row>
    <row r="24" spans="1:20" x14ac:dyDescent="0.25">
      <c r="A24" s="51" t="s">
        <v>201</v>
      </c>
      <c r="B24" s="3" t="s">
        <v>89</v>
      </c>
      <c r="C24" s="3" t="s">
        <v>89</v>
      </c>
      <c r="D24" s="3" t="s">
        <v>89</v>
      </c>
      <c r="E24" s="3" t="s">
        <v>89</v>
      </c>
      <c r="F24" s="3" t="s">
        <v>89</v>
      </c>
      <c r="G24" s="3" t="s">
        <v>89</v>
      </c>
      <c r="H24" s="3" t="s">
        <v>89</v>
      </c>
      <c r="I24" s="3" t="s">
        <v>89</v>
      </c>
      <c r="J24" s="3" t="s">
        <v>89</v>
      </c>
      <c r="K24" s="3" t="s">
        <v>89</v>
      </c>
      <c r="L24" s="3" t="s">
        <v>89</v>
      </c>
      <c r="M24" s="3" t="s">
        <v>89</v>
      </c>
      <c r="N24" s="3" t="s">
        <v>89</v>
      </c>
      <c r="O24" s="3" t="s">
        <v>89</v>
      </c>
      <c r="P24" s="3" t="s">
        <v>89</v>
      </c>
      <c r="Q24" s="3" t="s">
        <v>89</v>
      </c>
      <c r="R24" s="3" t="s">
        <v>89</v>
      </c>
      <c r="S24" s="3" t="s">
        <v>89</v>
      </c>
      <c r="T24" s="3" t="s">
        <v>89</v>
      </c>
    </row>
    <row r="25" spans="1:20" x14ac:dyDescent="0.25">
      <c r="A25" s="51" t="s">
        <v>202</v>
      </c>
      <c r="B25" s="3" t="s">
        <v>89</v>
      </c>
      <c r="C25" s="3" t="s">
        <v>89</v>
      </c>
      <c r="D25" s="3" t="s">
        <v>89</v>
      </c>
      <c r="E25" s="3" t="s">
        <v>89</v>
      </c>
      <c r="F25" s="3" t="s">
        <v>89</v>
      </c>
      <c r="G25" s="3" t="s">
        <v>89</v>
      </c>
      <c r="H25" s="3" t="s">
        <v>89</v>
      </c>
      <c r="I25" s="3" t="s">
        <v>89</v>
      </c>
      <c r="J25" s="3" t="s">
        <v>89</v>
      </c>
      <c r="K25" s="3" t="s">
        <v>89</v>
      </c>
      <c r="L25" s="3">
        <v>18.078020932445334</v>
      </c>
      <c r="M25" s="3">
        <v>18.623024830699777</v>
      </c>
      <c r="N25" s="3">
        <v>26.260257913247443</v>
      </c>
      <c r="O25" s="3">
        <v>97.508305647840459</v>
      </c>
      <c r="P25" s="3">
        <v>88.834555827220711</v>
      </c>
      <c r="Q25" s="3">
        <v>21.233738984473373</v>
      </c>
      <c r="R25" s="3">
        <v>44.111413866182374</v>
      </c>
      <c r="S25" s="3">
        <v>34.19284940411697</v>
      </c>
      <c r="T25" s="3">
        <v>40.014958863126353</v>
      </c>
    </row>
    <row r="26" spans="1:20" x14ac:dyDescent="0.25">
      <c r="A26" s="51" t="s">
        <v>203</v>
      </c>
      <c r="B26" s="3" t="s">
        <v>89</v>
      </c>
      <c r="C26" s="3" t="s">
        <v>89</v>
      </c>
      <c r="D26" s="3" t="s">
        <v>89</v>
      </c>
      <c r="E26" s="3" t="s">
        <v>89</v>
      </c>
      <c r="F26" s="3" t="s">
        <v>89</v>
      </c>
      <c r="G26" s="3">
        <v>60.457325953976138</v>
      </c>
      <c r="H26" s="3">
        <v>51.080452127659456</v>
      </c>
      <c r="I26" s="3">
        <v>57.965334510929623</v>
      </c>
      <c r="J26" s="3">
        <v>49.704628830384209</v>
      </c>
      <c r="K26" s="3">
        <v>84.517694204079959</v>
      </c>
      <c r="L26" s="3">
        <v>23.211972732722931</v>
      </c>
      <c r="M26" s="3">
        <v>48.85834426007154</v>
      </c>
      <c r="N26" s="3">
        <v>39.760599091927617</v>
      </c>
      <c r="O26" s="3">
        <v>26.312927660445069</v>
      </c>
      <c r="P26" s="3">
        <v>2.1769890244572814</v>
      </c>
      <c r="Q26" s="3">
        <v>2.1867690313279216</v>
      </c>
      <c r="R26" s="3">
        <v>1.6510856835776084</v>
      </c>
      <c r="S26" s="3">
        <v>1.6070739718434428</v>
      </c>
      <c r="T26" s="3">
        <v>0.97408983079567202</v>
      </c>
    </row>
    <row r="27" spans="1:20" x14ac:dyDescent="0.25">
      <c r="A27" s="51" t="s">
        <v>204</v>
      </c>
      <c r="B27" s="3" t="s">
        <v>89</v>
      </c>
      <c r="C27" s="3" t="s">
        <v>89</v>
      </c>
      <c r="D27" s="3" t="s">
        <v>89</v>
      </c>
      <c r="E27" s="3" t="s">
        <v>89</v>
      </c>
      <c r="F27" s="3" t="s">
        <v>89</v>
      </c>
      <c r="G27" s="3" t="s">
        <v>89</v>
      </c>
      <c r="H27" s="3" t="s">
        <v>89</v>
      </c>
      <c r="I27" s="3">
        <v>87.10268948655262</v>
      </c>
      <c r="J27" s="3" t="s">
        <v>89</v>
      </c>
      <c r="K27" s="3" t="s">
        <v>89</v>
      </c>
      <c r="L27" s="3" t="s">
        <v>89</v>
      </c>
      <c r="M27" s="3" t="s">
        <v>89</v>
      </c>
      <c r="N27" s="3" t="s">
        <v>89</v>
      </c>
      <c r="O27" s="3" t="s">
        <v>89</v>
      </c>
      <c r="P27" s="3" t="s">
        <v>89</v>
      </c>
      <c r="Q27" s="3" t="s">
        <v>89</v>
      </c>
      <c r="R27" s="3" t="s">
        <v>89</v>
      </c>
      <c r="S27" s="3" t="s">
        <v>89</v>
      </c>
      <c r="T27" s="3" t="s">
        <v>89</v>
      </c>
    </row>
    <row r="28" spans="1:20" x14ac:dyDescent="0.25">
      <c r="A28" s="51" t="s">
        <v>205</v>
      </c>
      <c r="B28" s="3" t="s">
        <v>89</v>
      </c>
      <c r="C28" s="3" t="s">
        <v>89</v>
      </c>
      <c r="D28" s="3" t="s">
        <v>89</v>
      </c>
      <c r="E28" s="3" t="s">
        <v>89</v>
      </c>
      <c r="F28" s="3" t="s">
        <v>89</v>
      </c>
      <c r="G28" s="3" t="s">
        <v>89</v>
      </c>
      <c r="H28" s="3" t="s">
        <v>89</v>
      </c>
      <c r="I28" s="3" t="s">
        <v>89</v>
      </c>
      <c r="J28" s="3" t="s">
        <v>89</v>
      </c>
      <c r="K28" s="3" t="s">
        <v>89</v>
      </c>
      <c r="L28" s="3" t="s">
        <v>89</v>
      </c>
      <c r="M28" s="3" t="s">
        <v>89</v>
      </c>
      <c r="N28" s="3" t="s">
        <v>89</v>
      </c>
      <c r="O28" s="3" t="s">
        <v>89</v>
      </c>
      <c r="P28" s="3" t="s">
        <v>89</v>
      </c>
      <c r="Q28" s="3" t="s">
        <v>89</v>
      </c>
      <c r="R28" s="3" t="s">
        <v>89</v>
      </c>
      <c r="S28" s="3" t="s">
        <v>89</v>
      </c>
      <c r="T28" s="3" t="s">
        <v>89</v>
      </c>
    </row>
    <row r="29" spans="1:20" x14ac:dyDescent="0.25">
      <c r="A29" s="51" t="s">
        <v>206</v>
      </c>
      <c r="B29" s="3" t="s">
        <v>89</v>
      </c>
      <c r="C29" s="3" t="s">
        <v>89</v>
      </c>
      <c r="D29" s="3" t="s">
        <v>89</v>
      </c>
      <c r="E29" s="3" t="s">
        <v>89</v>
      </c>
      <c r="F29" s="3" t="s">
        <v>89</v>
      </c>
      <c r="G29" s="3" t="s">
        <v>89</v>
      </c>
      <c r="H29" s="3" t="s">
        <v>89</v>
      </c>
      <c r="I29" s="3" t="s">
        <v>89</v>
      </c>
      <c r="J29" s="3" t="s">
        <v>89</v>
      </c>
      <c r="K29" s="3" t="s">
        <v>89</v>
      </c>
      <c r="L29" s="3">
        <v>49.797417067612045</v>
      </c>
      <c r="M29" s="3">
        <v>45.029372749668219</v>
      </c>
      <c r="N29" s="3">
        <v>13.434681988668135</v>
      </c>
      <c r="O29" s="3">
        <v>5.4830766969240372</v>
      </c>
      <c r="P29" s="3" t="s">
        <v>89</v>
      </c>
      <c r="Q29" s="3" t="s">
        <v>89</v>
      </c>
      <c r="R29" s="3">
        <v>2.7026153299065689</v>
      </c>
      <c r="S29" s="3">
        <v>2.4788336338906412</v>
      </c>
      <c r="T29" s="3">
        <v>1.8951976310029552</v>
      </c>
    </row>
    <row r="30" spans="1:20" x14ac:dyDescent="0.25">
      <c r="A30" s="51" t="s">
        <v>207</v>
      </c>
      <c r="B30" s="3" t="s">
        <v>89</v>
      </c>
      <c r="C30" s="3" t="s">
        <v>89</v>
      </c>
      <c r="D30" s="3" t="s">
        <v>89</v>
      </c>
      <c r="E30" s="3" t="s">
        <v>89</v>
      </c>
      <c r="F30" s="3" t="s">
        <v>89</v>
      </c>
      <c r="G30" s="3" t="s">
        <v>89</v>
      </c>
      <c r="H30" s="3" t="s">
        <v>89</v>
      </c>
      <c r="I30" s="3" t="s">
        <v>89</v>
      </c>
      <c r="J30" s="3" t="s">
        <v>89</v>
      </c>
      <c r="K30" s="3">
        <v>2.1376007475762142</v>
      </c>
      <c r="L30" s="3">
        <v>68.061485909479131</v>
      </c>
      <c r="M30" s="3">
        <v>75.828347906120612</v>
      </c>
      <c r="N30" s="3">
        <v>81.102071005917139</v>
      </c>
      <c r="O30" s="3">
        <v>43.150202500440251</v>
      </c>
      <c r="P30" s="3">
        <v>27.126254622292706</v>
      </c>
      <c r="Q30" s="3">
        <v>34.932680538555786</v>
      </c>
      <c r="R30" s="3">
        <v>36.07971445568122</v>
      </c>
      <c r="S30" s="3">
        <v>36.325790639897996</v>
      </c>
      <c r="T30" s="3">
        <v>35.598570577724878</v>
      </c>
    </row>
    <row r="31" spans="1:20" x14ac:dyDescent="0.25">
      <c r="A31" s="51" t="s">
        <v>208</v>
      </c>
      <c r="B31" s="3" t="s">
        <v>89</v>
      </c>
      <c r="C31" s="3" t="s">
        <v>89</v>
      </c>
      <c r="D31" s="3" t="s">
        <v>89</v>
      </c>
      <c r="E31" s="3" t="s">
        <v>89</v>
      </c>
      <c r="F31" s="3" t="s">
        <v>89</v>
      </c>
      <c r="G31" s="3" t="s">
        <v>89</v>
      </c>
      <c r="H31" s="3" t="s">
        <v>89</v>
      </c>
      <c r="I31" s="3" t="s">
        <v>89</v>
      </c>
      <c r="J31" s="3" t="s">
        <v>89</v>
      </c>
      <c r="K31" s="3" t="s">
        <v>89</v>
      </c>
      <c r="L31" s="3" t="s">
        <v>89</v>
      </c>
      <c r="M31" s="3">
        <v>98.610333892930242</v>
      </c>
      <c r="N31" s="3">
        <v>85.123376623376672</v>
      </c>
      <c r="O31" s="3">
        <v>71.006499412902883</v>
      </c>
      <c r="P31" s="3">
        <v>84.515373065211051</v>
      </c>
      <c r="Q31" s="3">
        <v>2.4794303667670192</v>
      </c>
      <c r="R31" s="3">
        <v>1.0065172161979699</v>
      </c>
      <c r="S31" s="3">
        <v>4.9050287460883455</v>
      </c>
      <c r="T31" s="3" t="s">
        <v>89</v>
      </c>
    </row>
    <row r="32" spans="1:20" x14ac:dyDescent="0.25">
      <c r="A32" s="51" t="s">
        <v>209</v>
      </c>
      <c r="B32" s="3">
        <v>58.280844757317631</v>
      </c>
      <c r="C32" s="3">
        <v>40.311883850152277</v>
      </c>
      <c r="D32" s="3">
        <v>63.665604007742381</v>
      </c>
      <c r="E32" s="3">
        <v>77.001009312334403</v>
      </c>
      <c r="F32" s="3">
        <v>36.363636363636431</v>
      </c>
      <c r="G32" s="3">
        <v>98.698920380741455</v>
      </c>
      <c r="H32" s="3">
        <v>97.60223284137524</v>
      </c>
      <c r="I32" s="3">
        <v>95.809659090909349</v>
      </c>
      <c r="J32" s="3" t="s">
        <v>89</v>
      </c>
      <c r="K32" s="3">
        <v>84.285714285714263</v>
      </c>
      <c r="L32" s="3">
        <v>67.882472137791339</v>
      </c>
      <c r="M32" s="3">
        <v>30.99717779868288</v>
      </c>
      <c r="N32" s="3">
        <v>19.796747967479622</v>
      </c>
      <c r="O32" s="3">
        <v>18.856934838005103</v>
      </c>
      <c r="P32" s="3">
        <v>18.457031249999982</v>
      </c>
      <c r="Q32" s="3">
        <v>17.605198019802014</v>
      </c>
      <c r="R32" s="3">
        <v>17.421708726056558</v>
      </c>
      <c r="S32" s="3">
        <v>17.319772659288066</v>
      </c>
      <c r="T32" s="3">
        <v>17.974905164867224</v>
      </c>
    </row>
    <row r="33" spans="1:20" x14ac:dyDescent="0.25">
      <c r="A33" s="51" t="s">
        <v>210</v>
      </c>
      <c r="B33" s="3" t="s">
        <v>89</v>
      </c>
      <c r="C33" s="3" t="s">
        <v>89</v>
      </c>
      <c r="D33" s="3" t="s">
        <v>89</v>
      </c>
      <c r="E33" s="3" t="s">
        <v>89</v>
      </c>
      <c r="F33" s="3" t="s">
        <v>89</v>
      </c>
      <c r="G33" s="3" t="s">
        <v>89</v>
      </c>
      <c r="H33" s="3" t="s">
        <v>89</v>
      </c>
      <c r="I33" s="3" t="s">
        <v>89</v>
      </c>
      <c r="J33" s="3" t="s">
        <v>89</v>
      </c>
      <c r="K33" s="3" t="s">
        <v>89</v>
      </c>
      <c r="L33" s="3">
        <v>70.855062250411109</v>
      </c>
      <c r="M33" s="3">
        <v>72.593832485675222</v>
      </c>
      <c r="N33" s="3">
        <v>40.025307830826904</v>
      </c>
      <c r="O33" s="3">
        <v>65.119329360440418</v>
      </c>
      <c r="P33" s="3">
        <v>10.446588067166825</v>
      </c>
      <c r="Q33" s="3">
        <v>10</v>
      </c>
      <c r="R33" s="3">
        <v>7.9120543552942904</v>
      </c>
      <c r="S33" s="3">
        <v>9.8824877301088332</v>
      </c>
      <c r="T33" s="3" t="s">
        <v>89</v>
      </c>
    </row>
    <row r="34" spans="1:20" x14ac:dyDescent="0.25">
      <c r="A34" s="51" t="s">
        <v>211</v>
      </c>
      <c r="B34" s="3" t="s">
        <v>89</v>
      </c>
      <c r="C34" s="3" t="s">
        <v>89</v>
      </c>
      <c r="D34" s="3" t="s">
        <v>89</v>
      </c>
      <c r="E34" s="3" t="s">
        <v>89</v>
      </c>
      <c r="F34" s="3" t="s">
        <v>89</v>
      </c>
      <c r="G34" s="3">
        <v>99.862215156332852</v>
      </c>
      <c r="H34" s="3">
        <v>97.660420215786544</v>
      </c>
      <c r="I34" s="3">
        <v>91.70165883673566</v>
      </c>
      <c r="J34" s="3">
        <v>83.312814773362959</v>
      </c>
      <c r="K34" s="3">
        <v>87.45268368436362</v>
      </c>
      <c r="L34" s="3">
        <v>85.860981706624258</v>
      </c>
      <c r="M34" s="3">
        <v>82.911894067730913</v>
      </c>
      <c r="N34" s="3">
        <v>33.369312394533146</v>
      </c>
      <c r="O34" s="3">
        <v>33.906637815821362</v>
      </c>
      <c r="P34" s="3">
        <v>4.744779582366605</v>
      </c>
      <c r="Q34" s="3">
        <v>2.8358171062987125</v>
      </c>
      <c r="R34" s="3">
        <v>1.3781444868622852</v>
      </c>
      <c r="S34" s="3">
        <v>0.61182654402102532</v>
      </c>
      <c r="T34" s="3">
        <v>0.55607221268803253</v>
      </c>
    </row>
    <row r="35" spans="1:20" x14ac:dyDescent="0.25">
      <c r="A35" s="51" t="s">
        <v>212</v>
      </c>
      <c r="B35" s="3" t="s">
        <v>89</v>
      </c>
      <c r="C35" s="3" t="s">
        <v>89</v>
      </c>
      <c r="D35" s="3" t="s">
        <v>89</v>
      </c>
      <c r="E35" s="3" t="s">
        <v>89</v>
      </c>
      <c r="F35" s="3" t="s">
        <v>89</v>
      </c>
      <c r="G35" s="3" t="s">
        <v>89</v>
      </c>
      <c r="H35" s="3" t="s">
        <v>89</v>
      </c>
      <c r="I35" s="3" t="s">
        <v>89</v>
      </c>
      <c r="J35" s="3" t="s">
        <v>89</v>
      </c>
      <c r="K35" s="3" t="s">
        <v>89</v>
      </c>
      <c r="L35" s="3" t="s">
        <v>89</v>
      </c>
      <c r="M35" s="3">
        <v>99.532892175943871</v>
      </c>
      <c r="N35" s="3">
        <v>94.554913294797856</v>
      </c>
      <c r="O35" s="3" t="s">
        <v>89</v>
      </c>
      <c r="P35" s="3" t="s">
        <v>89</v>
      </c>
      <c r="Q35" s="3" t="s">
        <v>89</v>
      </c>
      <c r="R35" s="3" t="s">
        <v>89</v>
      </c>
      <c r="S35" s="3" t="s">
        <v>89</v>
      </c>
      <c r="T35" s="3" t="s">
        <v>89</v>
      </c>
    </row>
    <row r="36" spans="1:20" x14ac:dyDescent="0.25">
      <c r="A36" s="51" t="s">
        <v>213</v>
      </c>
      <c r="B36" s="3" t="s">
        <v>89</v>
      </c>
      <c r="C36" s="3" t="s">
        <v>89</v>
      </c>
      <c r="D36" s="3" t="s">
        <v>89</v>
      </c>
      <c r="E36" s="3" t="s">
        <v>89</v>
      </c>
      <c r="F36" s="3" t="s">
        <v>89</v>
      </c>
      <c r="G36" s="3" t="s">
        <v>89</v>
      </c>
      <c r="H36" s="3" t="s">
        <v>89</v>
      </c>
      <c r="I36" s="3" t="s">
        <v>89</v>
      </c>
      <c r="J36" s="3" t="s">
        <v>89</v>
      </c>
      <c r="K36" s="3" t="s">
        <v>89</v>
      </c>
      <c r="L36" s="3" t="s">
        <v>89</v>
      </c>
      <c r="M36" s="3">
        <v>0.20012785946576916</v>
      </c>
      <c r="N36" s="3">
        <v>1.0168359889564562</v>
      </c>
      <c r="O36" s="3">
        <v>0.28527006016359091</v>
      </c>
      <c r="P36" s="3">
        <v>0.30470249520153458</v>
      </c>
      <c r="Q36" s="3">
        <v>69.110284323182299</v>
      </c>
      <c r="R36" s="3">
        <v>67.612300317065163</v>
      </c>
      <c r="S36" s="3">
        <v>15.007334256141155</v>
      </c>
      <c r="T36" s="3">
        <v>0.30376410791754643</v>
      </c>
    </row>
    <row r="37" spans="1:20" x14ac:dyDescent="0.25">
      <c r="A37" s="51" t="s">
        <v>214</v>
      </c>
      <c r="B37" s="3" t="s">
        <v>89</v>
      </c>
      <c r="C37" s="3" t="s">
        <v>89</v>
      </c>
      <c r="D37" s="3" t="s">
        <v>89</v>
      </c>
      <c r="E37" s="3" t="s">
        <v>89</v>
      </c>
      <c r="F37" s="3" t="s">
        <v>89</v>
      </c>
      <c r="G37" s="3" t="s">
        <v>89</v>
      </c>
      <c r="H37" s="3" t="s">
        <v>89</v>
      </c>
      <c r="I37" s="3" t="s">
        <v>89</v>
      </c>
      <c r="J37" s="3" t="s">
        <v>89</v>
      </c>
      <c r="K37" s="3" t="s">
        <v>89</v>
      </c>
      <c r="L37" s="3" t="s">
        <v>89</v>
      </c>
      <c r="M37" s="3" t="s">
        <v>89</v>
      </c>
      <c r="N37" s="3">
        <v>29.256198347107443</v>
      </c>
      <c r="O37" s="3">
        <v>25.649913344887342</v>
      </c>
      <c r="P37" s="3">
        <v>22.172200337647705</v>
      </c>
      <c r="Q37" s="3">
        <v>10.025445292620871</v>
      </c>
      <c r="R37" s="3">
        <v>5.0717823333960137</v>
      </c>
      <c r="S37" s="3">
        <v>3.3576153395294344</v>
      </c>
      <c r="T37" s="3">
        <v>2.291917973461993</v>
      </c>
    </row>
    <row r="38" spans="1:20" x14ac:dyDescent="0.25">
      <c r="A38" s="51" t="s">
        <v>215</v>
      </c>
      <c r="B38" s="3" t="s">
        <v>89</v>
      </c>
      <c r="C38" s="3" t="s">
        <v>89</v>
      </c>
      <c r="D38" s="3" t="s">
        <v>89</v>
      </c>
      <c r="E38" s="3" t="s">
        <v>89</v>
      </c>
      <c r="F38" s="3" t="s">
        <v>89</v>
      </c>
      <c r="G38" s="3" t="s">
        <v>89</v>
      </c>
      <c r="H38" s="3" t="s">
        <v>89</v>
      </c>
      <c r="I38" s="3" t="s">
        <v>89</v>
      </c>
      <c r="J38" s="3" t="s">
        <v>89</v>
      </c>
      <c r="K38" s="3" t="s">
        <v>89</v>
      </c>
      <c r="L38" s="3" t="s">
        <v>89</v>
      </c>
      <c r="M38" s="3" t="s">
        <v>89</v>
      </c>
      <c r="N38" s="3">
        <v>7.9783637592968182</v>
      </c>
      <c r="O38" s="3">
        <v>12.780989081567121</v>
      </c>
      <c r="P38" s="3">
        <v>7.1863580998781931</v>
      </c>
      <c r="Q38" s="3">
        <v>2.5477707006369452</v>
      </c>
      <c r="R38" s="3">
        <v>1.8404907975460141</v>
      </c>
      <c r="S38" s="3">
        <v>0.10912265386294193</v>
      </c>
      <c r="T38" s="3" t="s">
        <v>89</v>
      </c>
    </row>
    <row r="39" spans="1:20" x14ac:dyDescent="0.25">
      <c r="A39" s="51" t="s">
        <v>216</v>
      </c>
      <c r="B39" s="3" t="s">
        <v>89</v>
      </c>
      <c r="C39" s="3" t="s">
        <v>89</v>
      </c>
      <c r="D39" s="3" t="s">
        <v>89</v>
      </c>
      <c r="E39" s="3" t="s">
        <v>89</v>
      </c>
      <c r="F39" s="3" t="s">
        <v>89</v>
      </c>
      <c r="G39" s="3" t="s">
        <v>89</v>
      </c>
      <c r="H39" s="3">
        <v>90.183685135849402</v>
      </c>
      <c r="I39" s="3">
        <v>86.392984585762036</v>
      </c>
      <c r="J39" s="3">
        <v>99.149279042095657</v>
      </c>
      <c r="K39" s="3" t="s">
        <v>89</v>
      </c>
      <c r="L39" s="3">
        <v>57.897247815845155</v>
      </c>
      <c r="M39" s="3">
        <v>52.810793773448673</v>
      </c>
      <c r="N39" s="3">
        <v>45.95554362896381</v>
      </c>
      <c r="O39" s="3">
        <v>47.566630719457727</v>
      </c>
      <c r="P39" s="3" t="s">
        <v>89</v>
      </c>
      <c r="Q39" s="3" t="s">
        <v>89</v>
      </c>
      <c r="R39" s="3" t="s">
        <v>89</v>
      </c>
      <c r="S39" s="3" t="s">
        <v>89</v>
      </c>
      <c r="T39" s="3" t="s">
        <v>89</v>
      </c>
    </row>
    <row r="40" spans="1:20" x14ac:dyDescent="0.25">
      <c r="A40" s="51" t="s">
        <v>217</v>
      </c>
      <c r="B40" s="3" t="s">
        <v>89</v>
      </c>
      <c r="C40" s="3" t="s">
        <v>89</v>
      </c>
      <c r="D40" s="3" t="s">
        <v>89</v>
      </c>
      <c r="E40" s="3" t="s">
        <v>89</v>
      </c>
      <c r="F40" s="3" t="s">
        <v>89</v>
      </c>
      <c r="G40" s="3" t="s">
        <v>89</v>
      </c>
      <c r="H40" s="3" t="s">
        <v>89</v>
      </c>
      <c r="I40" s="3" t="s">
        <v>89</v>
      </c>
      <c r="J40" s="3" t="s">
        <v>89</v>
      </c>
      <c r="K40" s="3" t="s">
        <v>89</v>
      </c>
      <c r="L40" s="3" t="s">
        <v>89</v>
      </c>
      <c r="M40" s="3" t="s">
        <v>89</v>
      </c>
      <c r="N40" s="3" t="s">
        <v>89</v>
      </c>
      <c r="O40" s="3" t="s">
        <v>89</v>
      </c>
      <c r="P40" s="3" t="s">
        <v>89</v>
      </c>
      <c r="Q40" s="3" t="s">
        <v>89</v>
      </c>
      <c r="R40" s="3" t="s">
        <v>89</v>
      </c>
      <c r="S40" s="3">
        <v>21.169715582854881</v>
      </c>
      <c r="T40" s="3">
        <v>12.831127930307568</v>
      </c>
    </row>
    <row r="41" spans="1:20" x14ac:dyDescent="0.25">
      <c r="A41" s="51" t="s">
        <v>218</v>
      </c>
      <c r="B41" s="3" t="s">
        <v>89</v>
      </c>
      <c r="C41" s="3" t="s">
        <v>89</v>
      </c>
      <c r="D41" s="3" t="s">
        <v>89</v>
      </c>
      <c r="E41" s="3" t="s">
        <v>89</v>
      </c>
      <c r="F41" s="3" t="s">
        <v>89</v>
      </c>
      <c r="G41" s="3" t="s">
        <v>89</v>
      </c>
      <c r="H41" s="3" t="s">
        <v>89</v>
      </c>
      <c r="I41" s="3" t="s">
        <v>89</v>
      </c>
      <c r="J41" s="3" t="s">
        <v>89</v>
      </c>
      <c r="K41" s="3" t="s">
        <v>89</v>
      </c>
      <c r="L41" s="3" t="s">
        <v>89</v>
      </c>
      <c r="M41" s="3" t="s">
        <v>89</v>
      </c>
      <c r="N41" s="3" t="s">
        <v>89</v>
      </c>
      <c r="O41" s="3" t="s">
        <v>89</v>
      </c>
      <c r="P41" s="3" t="s">
        <v>89</v>
      </c>
      <c r="Q41" s="3" t="s">
        <v>89</v>
      </c>
      <c r="R41" s="3" t="s">
        <v>89</v>
      </c>
      <c r="S41" s="3" t="s">
        <v>89</v>
      </c>
      <c r="T41" s="3" t="s">
        <v>89</v>
      </c>
    </row>
    <row r="42" spans="1:20" x14ac:dyDescent="0.25">
      <c r="A42" s="51" t="s">
        <v>219</v>
      </c>
      <c r="B42" s="3" t="s">
        <v>89</v>
      </c>
      <c r="C42" s="3" t="s">
        <v>89</v>
      </c>
      <c r="D42" s="3" t="s">
        <v>89</v>
      </c>
      <c r="E42" s="3" t="s">
        <v>89</v>
      </c>
      <c r="F42" s="3" t="s">
        <v>89</v>
      </c>
      <c r="G42" s="3" t="s">
        <v>89</v>
      </c>
      <c r="H42" s="3" t="s">
        <v>89</v>
      </c>
      <c r="I42" s="3" t="s">
        <v>89</v>
      </c>
      <c r="J42" s="3" t="s">
        <v>89</v>
      </c>
      <c r="K42" s="3">
        <v>0.23993253289402308</v>
      </c>
      <c r="L42" s="3">
        <v>6.5508352449751435</v>
      </c>
      <c r="M42" s="3">
        <v>3.9247634192757874</v>
      </c>
      <c r="N42" s="3">
        <v>7.4971353886122358</v>
      </c>
      <c r="O42" s="3">
        <v>4.4258739508930756</v>
      </c>
      <c r="P42" s="3">
        <v>5.0000159954444889</v>
      </c>
      <c r="Q42" s="3">
        <v>0.62898246201048824</v>
      </c>
      <c r="R42" s="3">
        <v>0.303602872100873</v>
      </c>
      <c r="S42" s="3">
        <v>0.40907322251550393</v>
      </c>
      <c r="T42" s="3">
        <v>0.29607952434039225</v>
      </c>
    </row>
    <row r="43" spans="1:20" x14ac:dyDescent="0.25">
      <c r="A43" s="51" t="s">
        <v>220</v>
      </c>
      <c r="B43" s="3" t="s">
        <v>89</v>
      </c>
      <c r="C43" s="3" t="s">
        <v>89</v>
      </c>
      <c r="D43" s="3" t="s">
        <v>89</v>
      </c>
      <c r="E43" s="3" t="s">
        <v>89</v>
      </c>
      <c r="F43" s="3" t="s">
        <v>89</v>
      </c>
      <c r="G43" s="3" t="s">
        <v>89</v>
      </c>
      <c r="H43" s="3" t="s">
        <v>89</v>
      </c>
      <c r="I43" s="3" t="s">
        <v>89</v>
      </c>
      <c r="J43" s="3" t="s">
        <v>89</v>
      </c>
      <c r="K43" s="3" t="s">
        <v>89</v>
      </c>
      <c r="L43" s="3" t="s">
        <v>89</v>
      </c>
      <c r="M43" s="3">
        <v>30.000000000000071</v>
      </c>
      <c r="N43" s="3">
        <v>32.500000000000092</v>
      </c>
      <c r="O43" s="3">
        <v>37.499999999999986</v>
      </c>
      <c r="P43" s="3">
        <v>32.50000000000005</v>
      </c>
      <c r="Q43" s="3" t="s">
        <v>89</v>
      </c>
      <c r="R43" s="3">
        <v>35.000000000000028</v>
      </c>
      <c r="S43" s="3">
        <v>34.999999999999943</v>
      </c>
      <c r="T43" s="3">
        <v>34.99999999999995</v>
      </c>
    </row>
    <row r="44" spans="1:20" x14ac:dyDescent="0.25">
      <c r="A44" s="51" t="s">
        <v>221</v>
      </c>
      <c r="B44" s="3" t="s">
        <v>89</v>
      </c>
      <c r="C44" s="3" t="s">
        <v>89</v>
      </c>
      <c r="D44" s="3" t="s">
        <v>89</v>
      </c>
      <c r="E44" s="3" t="s">
        <v>89</v>
      </c>
      <c r="F44" s="3" t="s">
        <v>89</v>
      </c>
      <c r="G44" s="3" t="s">
        <v>89</v>
      </c>
      <c r="H44" s="3" t="s">
        <v>89</v>
      </c>
      <c r="I44" s="3" t="s">
        <v>89</v>
      </c>
      <c r="J44" s="3" t="s">
        <v>89</v>
      </c>
      <c r="K44" s="3" t="s">
        <v>89</v>
      </c>
      <c r="L44" s="3" t="s">
        <v>89</v>
      </c>
      <c r="M44" s="3" t="s">
        <v>89</v>
      </c>
      <c r="N44" s="3" t="s">
        <v>89</v>
      </c>
      <c r="O44" s="3" t="s">
        <v>89</v>
      </c>
      <c r="P44" s="3" t="s">
        <v>89</v>
      </c>
      <c r="Q44" s="3" t="s">
        <v>89</v>
      </c>
      <c r="R44" s="3">
        <v>87.000008849223093</v>
      </c>
      <c r="S44" s="3">
        <v>84.999989504757167</v>
      </c>
      <c r="T44" s="3">
        <v>84.976512852172291</v>
      </c>
    </row>
    <row r="45" spans="1:20" x14ac:dyDescent="0.25">
      <c r="A45" s="51" t="s">
        <v>222</v>
      </c>
      <c r="B45" s="3" t="s">
        <v>89</v>
      </c>
      <c r="C45" s="3" t="s">
        <v>89</v>
      </c>
      <c r="D45" s="3" t="s">
        <v>89</v>
      </c>
      <c r="E45" s="3" t="s">
        <v>89</v>
      </c>
      <c r="F45" s="3" t="s">
        <v>89</v>
      </c>
      <c r="G45" s="3" t="s">
        <v>89</v>
      </c>
      <c r="H45" s="3" t="s">
        <v>89</v>
      </c>
      <c r="I45" s="3" t="s">
        <v>89</v>
      </c>
      <c r="J45" s="3" t="s">
        <v>89</v>
      </c>
      <c r="K45" s="3" t="s">
        <v>89</v>
      </c>
      <c r="L45" s="3">
        <v>98.5137425838479</v>
      </c>
      <c r="M45" s="3">
        <v>95.800094333818734</v>
      </c>
      <c r="N45" s="3">
        <v>17.8041543026706</v>
      </c>
      <c r="O45" s="3">
        <v>8.2581434470102568</v>
      </c>
      <c r="P45" s="3">
        <v>1.137966707420297</v>
      </c>
      <c r="Q45" s="3">
        <v>2.1174059879330676</v>
      </c>
      <c r="R45" s="3">
        <v>1.3528138528138552E-2</v>
      </c>
      <c r="S45" s="3">
        <v>1.166712628073226E-2</v>
      </c>
      <c r="T45" s="3">
        <v>3.3253990478857409E-2</v>
      </c>
    </row>
    <row r="46" spans="1:20" x14ac:dyDescent="0.25">
      <c r="A46" s="51" t="s">
        <v>223</v>
      </c>
      <c r="B46" s="3" t="s">
        <v>89</v>
      </c>
      <c r="C46" s="3" t="s">
        <v>89</v>
      </c>
      <c r="D46" s="3" t="s">
        <v>89</v>
      </c>
      <c r="E46" s="3" t="s">
        <v>89</v>
      </c>
      <c r="F46" s="3">
        <v>89.999999999999943</v>
      </c>
      <c r="G46" s="3">
        <v>90.000000000000014</v>
      </c>
      <c r="H46" s="3">
        <v>90.001126316382241</v>
      </c>
      <c r="I46" s="3">
        <v>89.999999999999986</v>
      </c>
      <c r="J46" s="3" t="s">
        <v>89</v>
      </c>
      <c r="K46" s="3">
        <v>90.394579513750642</v>
      </c>
      <c r="L46" s="3" t="s">
        <v>89</v>
      </c>
      <c r="M46" s="3" t="s">
        <v>89</v>
      </c>
      <c r="N46" s="3" t="s">
        <v>89</v>
      </c>
      <c r="O46" s="3" t="s">
        <v>89</v>
      </c>
      <c r="P46" s="3" t="s">
        <v>89</v>
      </c>
      <c r="Q46" s="3" t="s">
        <v>89</v>
      </c>
      <c r="R46" s="3">
        <v>59.952742002492755</v>
      </c>
      <c r="S46" s="3" t="s">
        <v>89</v>
      </c>
      <c r="T46" s="3" t="s">
        <v>89</v>
      </c>
    </row>
    <row r="47" spans="1:20" x14ac:dyDescent="0.25">
      <c r="A47" s="51" t="s">
        <v>224</v>
      </c>
      <c r="B47" s="3" t="s">
        <v>89</v>
      </c>
      <c r="C47" s="3" t="s">
        <v>89</v>
      </c>
      <c r="D47" s="3" t="s">
        <v>89</v>
      </c>
      <c r="E47" s="3" t="s">
        <v>89</v>
      </c>
      <c r="F47" s="3" t="s">
        <v>89</v>
      </c>
      <c r="G47" s="3" t="s">
        <v>89</v>
      </c>
      <c r="H47" s="3">
        <v>38.154127322570801</v>
      </c>
      <c r="I47" s="3">
        <v>72.258150543369766</v>
      </c>
      <c r="J47" s="3">
        <v>99.353015542500216</v>
      </c>
      <c r="K47" s="3">
        <v>98.547829053164989</v>
      </c>
      <c r="L47" s="3">
        <v>91.534843950406142</v>
      </c>
      <c r="M47" s="3">
        <v>57.226906619683049</v>
      </c>
      <c r="N47" s="3">
        <v>52.21652929382936</v>
      </c>
      <c r="O47" s="3">
        <v>38.696904247660115</v>
      </c>
      <c r="P47" s="3">
        <v>28.218829802792278</v>
      </c>
      <c r="Q47" s="3">
        <v>22.120582625703072</v>
      </c>
      <c r="R47" s="3">
        <v>23.01469128449472</v>
      </c>
      <c r="S47" s="3">
        <v>22.478772875552337</v>
      </c>
      <c r="T47" s="3">
        <v>18.779698465417024</v>
      </c>
    </row>
    <row r="48" spans="1:20" x14ac:dyDescent="0.25">
      <c r="A48" s="51" t="s">
        <v>225</v>
      </c>
      <c r="B48" s="3" t="s">
        <v>89</v>
      </c>
      <c r="C48" s="3" t="s">
        <v>89</v>
      </c>
      <c r="D48" s="3" t="s">
        <v>89</v>
      </c>
      <c r="E48" s="3" t="s">
        <v>89</v>
      </c>
      <c r="F48" s="3" t="s">
        <v>89</v>
      </c>
      <c r="G48" s="3" t="s">
        <v>89</v>
      </c>
      <c r="H48" s="3" t="s">
        <v>89</v>
      </c>
      <c r="I48" s="3">
        <v>95.331339962450485</v>
      </c>
      <c r="J48" s="3">
        <v>93.203164094076058</v>
      </c>
      <c r="K48" s="3">
        <v>91.218124729035637</v>
      </c>
      <c r="L48" s="3">
        <v>90.935866867495363</v>
      </c>
      <c r="M48" s="3">
        <v>90.618597735866686</v>
      </c>
      <c r="N48" s="3">
        <v>78.178954674069615</v>
      </c>
      <c r="O48" s="3">
        <v>68.944035143014787</v>
      </c>
      <c r="P48" s="3">
        <v>64.826047822173692</v>
      </c>
      <c r="Q48" s="3">
        <v>61.48205307159612</v>
      </c>
      <c r="R48" s="3">
        <v>48.844559812597197</v>
      </c>
      <c r="S48" s="3">
        <v>45.430994780472858</v>
      </c>
      <c r="T48" s="3">
        <v>45.121434595548422</v>
      </c>
    </row>
    <row r="49" spans="1:20" x14ac:dyDescent="0.25">
      <c r="A49" s="9" t="s">
        <v>39</v>
      </c>
      <c r="B49" s="11" t="s">
        <v>89</v>
      </c>
      <c r="C49" s="11" t="s">
        <v>89</v>
      </c>
      <c r="D49" s="11" t="s">
        <v>89</v>
      </c>
      <c r="E49" s="11" t="s">
        <v>89</v>
      </c>
      <c r="F49" s="11" t="s">
        <v>89</v>
      </c>
      <c r="G49" s="11" t="s">
        <v>89</v>
      </c>
      <c r="H49" s="11" t="s">
        <v>89</v>
      </c>
      <c r="I49" s="11" t="s">
        <v>89</v>
      </c>
      <c r="J49" s="11" t="s">
        <v>89</v>
      </c>
      <c r="K49" s="11" t="s">
        <v>89</v>
      </c>
      <c r="L49" s="11" t="s">
        <v>89</v>
      </c>
      <c r="M49" s="11" t="s">
        <v>89</v>
      </c>
      <c r="N49" s="11" t="s">
        <v>89</v>
      </c>
      <c r="O49" s="11" t="s">
        <v>89</v>
      </c>
      <c r="P49" s="11" t="s">
        <v>89</v>
      </c>
      <c r="Q49" s="11" t="s">
        <v>89</v>
      </c>
      <c r="R49" s="11" t="s">
        <v>89</v>
      </c>
      <c r="S49" s="11" t="s">
        <v>89</v>
      </c>
      <c r="T49" s="11" t="s">
        <v>89</v>
      </c>
    </row>
    <row r="50" spans="1:20" x14ac:dyDescent="0.25">
      <c r="A50" s="51" t="s">
        <v>183</v>
      </c>
      <c r="B50" s="3" t="s">
        <v>89</v>
      </c>
      <c r="C50" s="3" t="s">
        <v>89</v>
      </c>
      <c r="D50" s="3" t="s">
        <v>89</v>
      </c>
      <c r="E50" s="3" t="s">
        <v>89</v>
      </c>
      <c r="F50" s="3" t="s">
        <v>89</v>
      </c>
      <c r="G50" s="3" t="s">
        <v>89</v>
      </c>
      <c r="H50" s="3">
        <v>13.574002655370817</v>
      </c>
      <c r="I50" s="3">
        <v>14.147815912636554</v>
      </c>
      <c r="J50" s="3">
        <v>17.956197827843106</v>
      </c>
      <c r="K50" s="3">
        <v>7.7094017094017033</v>
      </c>
      <c r="L50" s="3">
        <v>17.772886808056199</v>
      </c>
      <c r="M50" s="3">
        <v>65.775931259147526</v>
      </c>
      <c r="N50" s="3">
        <v>52.367440852670768</v>
      </c>
      <c r="O50" s="3">
        <v>49.525834923010969</v>
      </c>
      <c r="P50" s="3">
        <v>60.136224678335061</v>
      </c>
      <c r="Q50" s="3">
        <v>42.016689160275121</v>
      </c>
      <c r="R50" s="3">
        <v>36.654419390204204</v>
      </c>
      <c r="S50" s="3">
        <v>41.973149492017349</v>
      </c>
      <c r="T50" s="3">
        <v>56.810585262483372</v>
      </c>
    </row>
    <row r="51" spans="1:20" x14ac:dyDescent="0.25">
      <c r="A51" s="51" t="s">
        <v>184</v>
      </c>
      <c r="B51" s="3" t="s">
        <v>89</v>
      </c>
      <c r="C51" s="3" t="s">
        <v>89</v>
      </c>
      <c r="D51" s="3" t="s">
        <v>89</v>
      </c>
      <c r="E51" s="3" t="s">
        <v>89</v>
      </c>
      <c r="F51" s="3" t="s">
        <v>89</v>
      </c>
      <c r="G51" s="3" t="s">
        <v>89</v>
      </c>
      <c r="H51" s="3" t="s">
        <v>89</v>
      </c>
      <c r="I51" s="3" t="s">
        <v>89</v>
      </c>
      <c r="J51" s="3" t="s">
        <v>89</v>
      </c>
      <c r="K51" s="3" t="s">
        <v>89</v>
      </c>
      <c r="L51" s="3">
        <v>1.1492840861007598</v>
      </c>
      <c r="M51" s="3" t="s">
        <v>89</v>
      </c>
      <c r="N51" s="3">
        <v>18.259654027607876</v>
      </c>
      <c r="O51" s="3">
        <v>19.112968854035682</v>
      </c>
      <c r="P51" s="3">
        <v>25.413799882052253</v>
      </c>
      <c r="Q51" s="3">
        <v>53.917481071345264</v>
      </c>
      <c r="R51" s="3">
        <v>72.019923593984174</v>
      </c>
      <c r="S51" s="3">
        <v>14.257905232171675</v>
      </c>
      <c r="T51" s="3">
        <v>40.911541492141176</v>
      </c>
    </row>
    <row r="52" spans="1:20" x14ac:dyDescent="0.25">
      <c r="A52" s="51" t="s">
        <v>185</v>
      </c>
      <c r="B52" s="3" t="s">
        <v>89</v>
      </c>
      <c r="C52" s="3" t="s">
        <v>89</v>
      </c>
      <c r="D52" s="3" t="s">
        <v>89</v>
      </c>
      <c r="E52" s="3" t="s">
        <v>89</v>
      </c>
      <c r="F52" s="3" t="s">
        <v>89</v>
      </c>
      <c r="G52" s="3" t="s">
        <v>89</v>
      </c>
      <c r="H52" s="3" t="s">
        <v>89</v>
      </c>
      <c r="I52" s="3" t="s">
        <v>89</v>
      </c>
      <c r="J52" s="3" t="s">
        <v>89</v>
      </c>
      <c r="K52" s="3">
        <v>4.8813457494743036</v>
      </c>
      <c r="L52" s="3">
        <v>7.1217261500881843</v>
      </c>
      <c r="M52" s="3">
        <v>28.387828707858475</v>
      </c>
      <c r="N52" s="3">
        <v>27.128938767959472</v>
      </c>
      <c r="O52" s="3">
        <v>21.803516132254551</v>
      </c>
      <c r="P52" s="3">
        <v>40.938748878558073</v>
      </c>
      <c r="Q52" s="3">
        <v>59.628485891421555</v>
      </c>
      <c r="R52" s="3">
        <v>87.29820400627429</v>
      </c>
      <c r="S52" s="3">
        <v>91.250203483639808</v>
      </c>
      <c r="T52" s="3">
        <v>86.555446516192205</v>
      </c>
    </row>
    <row r="53" spans="1:20" x14ac:dyDescent="0.25">
      <c r="A53" s="51" t="s">
        <v>186</v>
      </c>
      <c r="B53" s="3" t="s">
        <v>89</v>
      </c>
      <c r="C53" s="3" t="s">
        <v>89</v>
      </c>
      <c r="D53" s="3" t="s">
        <v>89</v>
      </c>
      <c r="E53" s="3">
        <v>3.2242353399571466</v>
      </c>
      <c r="F53" s="3">
        <v>3.3397505649954007</v>
      </c>
      <c r="G53" s="3">
        <v>3.2032105071141901</v>
      </c>
      <c r="H53" s="3" t="s">
        <v>89</v>
      </c>
      <c r="I53" s="3" t="s">
        <v>89</v>
      </c>
      <c r="J53" s="3" t="s">
        <v>89</v>
      </c>
      <c r="K53" s="3">
        <v>1.479289940828405</v>
      </c>
      <c r="L53" s="3">
        <v>6.0401967072909981</v>
      </c>
      <c r="M53" s="3">
        <v>11.054586563307499</v>
      </c>
      <c r="N53" s="3">
        <v>24.197071434349994</v>
      </c>
      <c r="O53" s="3">
        <v>24.497032855695437</v>
      </c>
      <c r="P53" s="3">
        <v>32.72575946733248</v>
      </c>
      <c r="Q53" s="3">
        <v>78.560698190142261</v>
      </c>
      <c r="R53" s="3">
        <v>70.720029464121325</v>
      </c>
      <c r="S53" s="3" t="s">
        <v>89</v>
      </c>
      <c r="T53" s="3" t="s">
        <v>89</v>
      </c>
    </row>
    <row r="54" spans="1:20" x14ac:dyDescent="0.25">
      <c r="A54" s="51" t="s">
        <v>187</v>
      </c>
      <c r="B54" s="3" t="s">
        <v>89</v>
      </c>
      <c r="C54" s="3" t="s">
        <v>89</v>
      </c>
      <c r="D54" s="3" t="s">
        <v>89</v>
      </c>
      <c r="E54" s="3" t="s">
        <v>89</v>
      </c>
      <c r="F54" s="3" t="s">
        <v>89</v>
      </c>
      <c r="G54" s="3">
        <v>0.56818181818182578</v>
      </c>
      <c r="H54" s="3">
        <v>0.60362173038229061</v>
      </c>
      <c r="I54" s="3">
        <v>1.1396011396011456</v>
      </c>
      <c r="J54" s="3" t="s">
        <v>89</v>
      </c>
      <c r="K54" s="3" t="s">
        <v>89</v>
      </c>
      <c r="L54" s="3">
        <v>2.6344280043305699</v>
      </c>
      <c r="M54" s="3">
        <v>3.852080123266568</v>
      </c>
      <c r="N54" s="3">
        <v>7.0260602963720107</v>
      </c>
      <c r="O54" s="3">
        <v>17.128335451080051</v>
      </c>
      <c r="P54" s="3">
        <v>17.039321511179661</v>
      </c>
      <c r="Q54" s="3">
        <v>22.647754137115804</v>
      </c>
      <c r="R54" s="3">
        <v>19.352390589425756</v>
      </c>
      <c r="S54" s="3">
        <v>21.947565543071143</v>
      </c>
      <c r="T54" s="3">
        <v>43.016157989228041</v>
      </c>
    </row>
    <row r="55" spans="1:20" x14ac:dyDescent="0.25">
      <c r="A55" s="51" t="s">
        <v>189</v>
      </c>
      <c r="B55" s="3" t="s">
        <v>89</v>
      </c>
      <c r="C55" s="3" t="s">
        <v>89</v>
      </c>
      <c r="D55" s="3" t="s">
        <v>89</v>
      </c>
      <c r="E55" s="3" t="s">
        <v>89</v>
      </c>
      <c r="F55" s="3" t="s">
        <v>89</v>
      </c>
      <c r="G55" s="3" t="s">
        <v>89</v>
      </c>
      <c r="H55" s="3" t="s">
        <v>89</v>
      </c>
      <c r="I55" s="3">
        <v>16.909283231753399</v>
      </c>
      <c r="J55" s="3" t="s">
        <v>89</v>
      </c>
      <c r="K55" s="3">
        <v>63.624449570140328</v>
      </c>
      <c r="L55" s="3">
        <v>43.221873491067072</v>
      </c>
      <c r="M55" s="3">
        <v>27.018853355639948</v>
      </c>
      <c r="N55" s="3" t="s">
        <v>89</v>
      </c>
      <c r="O55" s="3" t="s">
        <v>89</v>
      </c>
      <c r="P55" s="3" t="s">
        <v>89</v>
      </c>
      <c r="Q55" s="3" t="s">
        <v>89</v>
      </c>
      <c r="R55" s="3" t="s">
        <v>89</v>
      </c>
      <c r="S55" s="3" t="s">
        <v>89</v>
      </c>
      <c r="T55" s="3" t="s">
        <v>89</v>
      </c>
    </row>
    <row r="56" spans="1:20" x14ac:dyDescent="0.25">
      <c r="A56" s="51" t="s">
        <v>188</v>
      </c>
      <c r="B56" s="3" t="s">
        <v>89</v>
      </c>
      <c r="C56" s="3" t="s">
        <v>89</v>
      </c>
      <c r="D56" s="3" t="s">
        <v>89</v>
      </c>
      <c r="E56" s="3" t="s">
        <v>89</v>
      </c>
      <c r="F56" s="3" t="s">
        <v>89</v>
      </c>
      <c r="G56" s="3" t="s">
        <v>89</v>
      </c>
      <c r="H56" s="3" t="s">
        <v>89</v>
      </c>
      <c r="I56" s="3" t="s">
        <v>89</v>
      </c>
      <c r="J56" s="3" t="s">
        <v>89</v>
      </c>
      <c r="K56" s="3" t="s">
        <v>89</v>
      </c>
      <c r="L56" s="3" t="s">
        <v>89</v>
      </c>
      <c r="M56" s="3">
        <v>87.396821654636824</v>
      </c>
      <c r="N56" s="3">
        <v>87.871575852996344</v>
      </c>
      <c r="O56" s="3">
        <v>85.448431456268366</v>
      </c>
      <c r="P56" s="3">
        <v>81.494229651633873</v>
      </c>
      <c r="Q56" s="3">
        <v>77.558163190460832</v>
      </c>
      <c r="R56" s="3">
        <v>5.2207205559011074</v>
      </c>
      <c r="S56" s="3">
        <v>5.5243302425373981</v>
      </c>
      <c r="T56" s="3"/>
    </row>
    <row r="57" spans="1:20" x14ac:dyDescent="0.25">
      <c r="A57" s="51" t="s">
        <v>190</v>
      </c>
      <c r="B57" s="3" t="s">
        <v>89</v>
      </c>
      <c r="C57" s="3" t="s">
        <v>89</v>
      </c>
      <c r="D57" s="3" t="s">
        <v>89</v>
      </c>
      <c r="E57" s="3" t="s">
        <v>89</v>
      </c>
      <c r="F57" s="3" t="s">
        <v>89</v>
      </c>
      <c r="G57" s="3" t="s">
        <v>89</v>
      </c>
      <c r="H57" s="3" t="s">
        <v>89</v>
      </c>
      <c r="I57" s="3" t="s">
        <v>89</v>
      </c>
      <c r="J57" s="3" t="s">
        <v>89</v>
      </c>
      <c r="K57" s="3" t="s">
        <v>89</v>
      </c>
      <c r="L57" s="3">
        <v>7.4811625403659914</v>
      </c>
      <c r="M57" s="3">
        <v>12.092391304347808</v>
      </c>
      <c r="N57" s="3">
        <v>12.762520193861061</v>
      </c>
      <c r="O57" s="3">
        <v>9.8684210526316445</v>
      </c>
      <c r="P57" s="3">
        <v>11.222444889779588</v>
      </c>
      <c r="Q57" s="3" t="s">
        <v>89</v>
      </c>
      <c r="R57" s="3" t="s">
        <v>89</v>
      </c>
      <c r="S57" s="3" t="s">
        <v>89</v>
      </c>
      <c r="T57" s="3" t="s">
        <v>89</v>
      </c>
    </row>
    <row r="58" spans="1:20" x14ac:dyDescent="0.25">
      <c r="A58" s="51" t="s">
        <v>191</v>
      </c>
      <c r="B58" s="3" t="s">
        <v>89</v>
      </c>
      <c r="C58" s="3" t="s">
        <v>89</v>
      </c>
      <c r="D58" s="3" t="s">
        <v>89</v>
      </c>
      <c r="E58" s="3" t="s">
        <v>89</v>
      </c>
      <c r="F58" s="3" t="s">
        <v>89</v>
      </c>
      <c r="G58" s="3" t="s">
        <v>89</v>
      </c>
      <c r="H58" s="3" t="s">
        <v>89</v>
      </c>
      <c r="I58" s="3" t="s">
        <v>89</v>
      </c>
      <c r="J58" s="3" t="s">
        <v>89</v>
      </c>
      <c r="K58" s="3" t="s">
        <v>89</v>
      </c>
      <c r="L58" s="3" t="s">
        <v>89</v>
      </c>
      <c r="M58" s="3" t="s">
        <v>89</v>
      </c>
      <c r="N58" s="3" t="s">
        <v>89</v>
      </c>
      <c r="O58" s="3" t="s">
        <v>89</v>
      </c>
      <c r="P58" s="3" t="s">
        <v>89</v>
      </c>
      <c r="Q58" s="3" t="s">
        <v>89</v>
      </c>
      <c r="R58" s="3" t="s">
        <v>89</v>
      </c>
      <c r="S58" s="3" t="s">
        <v>89</v>
      </c>
      <c r="T58" s="3" t="s">
        <v>89</v>
      </c>
    </row>
    <row r="59" spans="1:20" x14ac:dyDescent="0.25">
      <c r="A59" s="51" t="s">
        <v>192</v>
      </c>
      <c r="B59" s="3" t="s">
        <v>89</v>
      </c>
      <c r="C59" s="3" t="s">
        <v>89</v>
      </c>
      <c r="D59" s="3" t="s">
        <v>89</v>
      </c>
      <c r="E59" s="3" t="s">
        <v>89</v>
      </c>
      <c r="F59" s="3" t="s">
        <v>89</v>
      </c>
      <c r="G59" s="3" t="s">
        <v>89</v>
      </c>
      <c r="H59" s="3" t="s">
        <v>89</v>
      </c>
      <c r="I59" s="3" t="s">
        <v>89</v>
      </c>
      <c r="J59" s="3" t="s">
        <v>89</v>
      </c>
      <c r="K59" s="3" t="s">
        <v>89</v>
      </c>
      <c r="L59" s="3" t="s">
        <v>89</v>
      </c>
      <c r="M59" s="3" t="s">
        <v>89</v>
      </c>
      <c r="N59" s="3" t="s">
        <v>89</v>
      </c>
      <c r="O59" s="3" t="s">
        <v>89</v>
      </c>
      <c r="P59" s="3" t="s">
        <v>89</v>
      </c>
      <c r="Q59" s="3" t="s">
        <v>89</v>
      </c>
      <c r="R59" s="3" t="s">
        <v>89</v>
      </c>
      <c r="S59" s="3">
        <v>4.2309739222990936</v>
      </c>
      <c r="T59" s="3">
        <v>2.0931656419806539</v>
      </c>
    </row>
    <row r="60" spans="1:20" x14ac:dyDescent="0.25">
      <c r="A60" s="51" t="s">
        <v>193</v>
      </c>
      <c r="B60" s="3" t="s">
        <v>89</v>
      </c>
      <c r="C60" s="3" t="s">
        <v>89</v>
      </c>
      <c r="D60" s="3" t="s">
        <v>89</v>
      </c>
      <c r="E60" s="3" t="s">
        <v>89</v>
      </c>
      <c r="F60" s="3" t="s">
        <v>89</v>
      </c>
      <c r="G60" s="3" t="s">
        <v>89</v>
      </c>
      <c r="H60" s="3" t="s">
        <v>89</v>
      </c>
      <c r="I60" s="3" t="s">
        <v>89</v>
      </c>
      <c r="J60" s="3" t="s">
        <v>89</v>
      </c>
      <c r="K60" s="3">
        <v>21.126149916835534</v>
      </c>
      <c r="L60" s="3">
        <v>19.857438449688694</v>
      </c>
      <c r="M60" s="3">
        <v>20.698049567385223</v>
      </c>
      <c r="N60" s="3">
        <v>31.733239978995243</v>
      </c>
      <c r="O60" s="3">
        <v>30.432360531611312</v>
      </c>
      <c r="P60" s="3">
        <v>34.017155539559745</v>
      </c>
      <c r="Q60" s="3">
        <v>37.868921452347294</v>
      </c>
      <c r="R60" s="3">
        <v>62.880363895761818</v>
      </c>
      <c r="S60" s="3">
        <v>44.927223889697764</v>
      </c>
      <c r="T60" s="3" t="s">
        <v>89</v>
      </c>
    </row>
    <row r="61" spans="1:20" x14ac:dyDescent="0.25">
      <c r="A61" s="51" t="s">
        <v>249</v>
      </c>
      <c r="B61" s="3" t="s">
        <v>89</v>
      </c>
      <c r="C61" s="3" t="s">
        <v>89</v>
      </c>
      <c r="D61" s="3" t="s">
        <v>89</v>
      </c>
      <c r="E61" s="3" t="s">
        <v>89</v>
      </c>
      <c r="F61" s="3" t="s">
        <v>89</v>
      </c>
      <c r="G61" s="3" t="s">
        <v>89</v>
      </c>
      <c r="H61" s="3" t="s">
        <v>89</v>
      </c>
      <c r="I61" s="3" t="s">
        <v>89</v>
      </c>
      <c r="J61" s="3" t="s">
        <v>89</v>
      </c>
      <c r="K61" s="3" t="s">
        <v>89</v>
      </c>
      <c r="L61" s="3" t="s">
        <v>89</v>
      </c>
      <c r="M61" s="3" t="s">
        <v>89</v>
      </c>
      <c r="N61" s="3" t="s">
        <v>89</v>
      </c>
      <c r="O61" s="3" t="s">
        <v>89</v>
      </c>
      <c r="P61" s="3" t="s">
        <v>89</v>
      </c>
      <c r="Q61" s="3" t="s">
        <v>89</v>
      </c>
      <c r="R61" s="3" t="s">
        <v>89</v>
      </c>
      <c r="S61" s="3" t="s">
        <v>89</v>
      </c>
      <c r="T61" s="3" t="s">
        <v>89</v>
      </c>
    </row>
    <row r="62" spans="1:20" x14ac:dyDescent="0.25">
      <c r="A62" s="51" t="s">
        <v>194</v>
      </c>
      <c r="B62" s="3" t="s">
        <v>89</v>
      </c>
      <c r="C62" s="3" t="s">
        <v>89</v>
      </c>
      <c r="D62" s="3" t="s">
        <v>89</v>
      </c>
      <c r="E62" s="3" t="s">
        <v>89</v>
      </c>
      <c r="F62" s="3" t="s">
        <v>89</v>
      </c>
      <c r="G62" s="3" t="s">
        <v>89</v>
      </c>
      <c r="H62" s="3" t="s">
        <v>89</v>
      </c>
      <c r="I62" s="3" t="s">
        <v>89</v>
      </c>
      <c r="J62" s="3" t="s">
        <v>89</v>
      </c>
      <c r="K62" s="3" t="s">
        <v>89</v>
      </c>
      <c r="L62" s="3">
        <v>6.0015793629902596</v>
      </c>
      <c r="M62" s="3">
        <v>5.824955647545818</v>
      </c>
      <c r="N62" s="3">
        <v>0.84343700579862568</v>
      </c>
      <c r="O62" s="3">
        <v>13.14814814814814</v>
      </c>
      <c r="P62" s="3" t="s">
        <v>89</v>
      </c>
      <c r="Q62" s="3" t="s">
        <v>89</v>
      </c>
      <c r="R62" s="3">
        <v>96.565774155995371</v>
      </c>
      <c r="S62" s="3">
        <v>98.568281938325981</v>
      </c>
      <c r="T62" s="3" t="s">
        <v>89</v>
      </c>
    </row>
    <row r="63" spans="1:20" x14ac:dyDescent="0.25">
      <c r="A63" s="51" t="s">
        <v>195</v>
      </c>
      <c r="B63" s="3" t="s">
        <v>89</v>
      </c>
      <c r="C63" s="3" t="s">
        <v>89</v>
      </c>
      <c r="D63" s="3" t="s">
        <v>89</v>
      </c>
      <c r="E63" s="3" t="s">
        <v>89</v>
      </c>
      <c r="F63" s="3" t="s">
        <v>89</v>
      </c>
      <c r="G63" s="3" t="s">
        <v>89</v>
      </c>
      <c r="H63" s="3" t="s">
        <v>89</v>
      </c>
      <c r="I63" s="3" t="s">
        <v>89</v>
      </c>
      <c r="J63" s="3" t="s">
        <v>89</v>
      </c>
      <c r="K63" s="3" t="s">
        <v>89</v>
      </c>
      <c r="L63" s="3" t="s">
        <v>89</v>
      </c>
      <c r="M63" s="3" t="s">
        <v>89</v>
      </c>
      <c r="N63" s="3" t="s">
        <v>89</v>
      </c>
      <c r="O63" s="3" t="s">
        <v>89</v>
      </c>
      <c r="P63" s="3" t="s">
        <v>89</v>
      </c>
      <c r="Q63" s="3" t="s">
        <v>89</v>
      </c>
      <c r="R63" s="3" t="s">
        <v>89</v>
      </c>
      <c r="S63" s="3" t="s">
        <v>89</v>
      </c>
      <c r="T63" s="3" t="s">
        <v>89</v>
      </c>
    </row>
    <row r="64" spans="1:20" x14ac:dyDescent="0.25">
      <c r="A64" s="51" t="s">
        <v>196</v>
      </c>
      <c r="B64" s="3" t="s">
        <v>89</v>
      </c>
      <c r="C64" s="3" t="s">
        <v>89</v>
      </c>
      <c r="D64" s="3" t="s">
        <v>89</v>
      </c>
      <c r="E64" s="3">
        <v>0.38860103626943054</v>
      </c>
      <c r="F64" s="3" t="s">
        <v>89</v>
      </c>
      <c r="G64" s="3">
        <v>1.831601968288683</v>
      </c>
      <c r="H64" s="3">
        <v>7.8265204386839464</v>
      </c>
      <c r="I64" s="3">
        <v>24.088655584718573</v>
      </c>
      <c r="J64" s="3" t="s">
        <v>89</v>
      </c>
      <c r="K64" s="3" t="s">
        <v>89</v>
      </c>
      <c r="L64" s="3" t="s">
        <v>89</v>
      </c>
      <c r="M64" s="3" t="s">
        <v>89</v>
      </c>
      <c r="N64" s="3" t="s">
        <v>89</v>
      </c>
      <c r="O64" s="3" t="s">
        <v>89</v>
      </c>
      <c r="P64" s="3" t="s">
        <v>89</v>
      </c>
      <c r="Q64" s="3" t="s">
        <v>89</v>
      </c>
      <c r="R64" s="3" t="s">
        <v>89</v>
      </c>
      <c r="S64" s="3">
        <v>47.081127754627033</v>
      </c>
      <c r="T64" s="3">
        <v>41.709059899432482</v>
      </c>
    </row>
    <row r="65" spans="1:20" x14ac:dyDescent="0.25">
      <c r="A65" s="51" t="s">
        <v>197</v>
      </c>
      <c r="B65" s="3" t="s">
        <v>89</v>
      </c>
      <c r="C65" s="3" t="s">
        <v>89</v>
      </c>
      <c r="D65" s="3" t="s">
        <v>89</v>
      </c>
      <c r="E65" s="3" t="s">
        <v>89</v>
      </c>
      <c r="F65" s="3" t="s">
        <v>89</v>
      </c>
      <c r="G65" s="3" t="s">
        <v>89</v>
      </c>
      <c r="H65" s="3" t="s">
        <v>89</v>
      </c>
      <c r="I65" s="3" t="s">
        <v>89</v>
      </c>
      <c r="J65" s="3" t="s">
        <v>89</v>
      </c>
      <c r="K65" s="3">
        <v>50.000106092916241</v>
      </c>
      <c r="L65" s="3">
        <v>51.389748953974966</v>
      </c>
      <c r="M65" s="3">
        <v>47.52110912343467</v>
      </c>
      <c r="N65" s="3">
        <v>22.08101667990465</v>
      </c>
      <c r="O65" s="3" t="s">
        <v>89</v>
      </c>
      <c r="P65" s="3" t="s">
        <v>89</v>
      </c>
      <c r="Q65" s="3" t="s">
        <v>89</v>
      </c>
      <c r="R65" s="3">
        <v>95.735957359573661</v>
      </c>
      <c r="S65" s="3">
        <v>94.412457656753929</v>
      </c>
      <c r="T65" s="3" t="s">
        <v>89</v>
      </c>
    </row>
    <row r="66" spans="1:20" x14ac:dyDescent="0.25">
      <c r="A66" s="51" t="s">
        <v>198</v>
      </c>
      <c r="B66" s="3" t="s">
        <v>89</v>
      </c>
      <c r="C66" s="3" t="s">
        <v>89</v>
      </c>
      <c r="D66" s="3" t="s">
        <v>89</v>
      </c>
      <c r="E66" s="3" t="s">
        <v>89</v>
      </c>
      <c r="F66" s="3" t="s">
        <v>89</v>
      </c>
      <c r="G66" s="3" t="s">
        <v>89</v>
      </c>
      <c r="H66" s="3">
        <v>3.5111111111111084</v>
      </c>
      <c r="I66" s="3" t="s">
        <v>89</v>
      </c>
      <c r="J66" s="3" t="s">
        <v>89</v>
      </c>
      <c r="K66" s="3">
        <v>8.1759259259259274</v>
      </c>
      <c r="L66" s="3" t="s">
        <v>89</v>
      </c>
      <c r="M66" s="3" t="s">
        <v>89</v>
      </c>
      <c r="N66" s="3" t="s">
        <v>89</v>
      </c>
      <c r="O66" s="3">
        <v>58.773593853741779</v>
      </c>
      <c r="P66" s="3">
        <v>29.359642285761083</v>
      </c>
      <c r="Q66" s="3">
        <v>15.327190799650294</v>
      </c>
      <c r="R66" s="3">
        <v>8.0644905343002371</v>
      </c>
      <c r="S66" s="3">
        <v>2.424453626723754</v>
      </c>
      <c r="T66" s="3">
        <v>0.66856430879567341</v>
      </c>
    </row>
    <row r="67" spans="1:20" x14ac:dyDescent="0.25">
      <c r="A67" s="51" t="s">
        <v>199</v>
      </c>
      <c r="B67" s="3" t="s">
        <v>89</v>
      </c>
      <c r="C67" s="3" t="s">
        <v>89</v>
      </c>
      <c r="D67" s="3" t="s">
        <v>89</v>
      </c>
      <c r="E67" s="3" t="s">
        <v>89</v>
      </c>
      <c r="F67" s="3" t="s">
        <v>89</v>
      </c>
      <c r="G67" s="3" t="s">
        <v>89</v>
      </c>
      <c r="H67" s="3" t="s">
        <v>89</v>
      </c>
      <c r="I67" s="3" t="s">
        <v>89</v>
      </c>
      <c r="J67" s="3" t="s">
        <v>89</v>
      </c>
      <c r="K67" s="3" t="s">
        <v>89</v>
      </c>
      <c r="L67" s="3">
        <v>2.4349286314021845</v>
      </c>
      <c r="M67" s="3">
        <v>2.8</v>
      </c>
      <c r="N67" s="3" t="s">
        <v>89</v>
      </c>
      <c r="O67" s="3">
        <v>30.0022558087074</v>
      </c>
      <c r="P67" s="3" t="s">
        <v>89</v>
      </c>
      <c r="Q67" s="3" t="s">
        <v>89</v>
      </c>
      <c r="R67" s="3" t="s">
        <v>89</v>
      </c>
      <c r="S67" s="3" t="s">
        <v>89</v>
      </c>
      <c r="T67" s="3" t="s">
        <v>89</v>
      </c>
    </row>
    <row r="68" spans="1:20" x14ac:dyDescent="0.25">
      <c r="A68" s="51" t="s">
        <v>200</v>
      </c>
      <c r="B68" s="3" t="s">
        <v>89</v>
      </c>
      <c r="C68" s="3" t="s">
        <v>89</v>
      </c>
      <c r="D68" s="3" t="s">
        <v>89</v>
      </c>
      <c r="E68" s="3" t="s">
        <v>89</v>
      </c>
      <c r="F68" s="3">
        <v>0.52462941445723654</v>
      </c>
      <c r="G68" s="3">
        <v>1.4706729384659682</v>
      </c>
      <c r="H68" s="3">
        <v>1.3522847626210708</v>
      </c>
      <c r="I68" s="3">
        <v>1.3004168379028913</v>
      </c>
      <c r="J68" s="3" t="s">
        <v>89</v>
      </c>
      <c r="K68" s="3" t="s">
        <v>89</v>
      </c>
      <c r="L68" s="3" t="s">
        <v>89</v>
      </c>
      <c r="M68" s="3" t="s">
        <v>89</v>
      </c>
      <c r="N68" s="3" t="s">
        <v>89</v>
      </c>
      <c r="O68" s="3" t="s">
        <v>89</v>
      </c>
      <c r="P68" s="3" t="s">
        <v>89</v>
      </c>
      <c r="Q68" s="3" t="s">
        <v>89</v>
      </c>
      <c r="R68" s="3" t="s">
        <v>89</v>
      </c>
      <c r="S68" s="3" t="s">
        <v>89</v>
      </c>
      <c r="T68" s="3" t="s">
        <v>89</v>
      </c>
    </row>
    <row r="69" spans="1:20" x14ac:dyDescent="0.25">
      <c r="A69" s="51" t="s">
        <v>201</v>
      </c>
      <c r="B69" s="3" t="s">
        <v>89</v>
      </c>
      <c r="C69" s="3" t="s">
        <v>89</v>
      </c>
      <c r="D69" s="3" t="s">
        <v>89</v>
      </c>
      <c r="E69" s="3" t="s">
        <v>89</v>
      </c>
      <c r="F69" s="3" t="s">
        <v>89</v>
      </c>
      <c r="G69" s="3" t="s">
        <v>89</v>
      </c>
      <c r="H69" s="3" t="s">
        <v>89</v>
      </c>
      <c r="I69" s="3" t="s">
        <v>89</v>
      </c>
      <c r="J69" s="3" t="s">
        <v>89</v>
      </c>
      <c r="K69" s="3" t="s">
        <v>89</v>
      </c>
      <c r="L69" s="3" t="s">
        <v>89</v>
      </c>
      <c r="M69" s="3" t="s">
        <v>89</v>
      </c>
      <c r="N69" s="3" t="s">
        <v>89</v>
      </c>
      <c r="O69" s="3" t="s">
        <v>89</v>
      </c>
      <c r="P69" s="3" t="s">
        <v>89</v>
      </c>
      <c r="Q69" s="3" t="s">
        <v>89</v>
      </c>
      <c r="R69" s="3" t="s">
        <v>89</v>
      </c>
      <c r="S69" s="3" t="s">
        <v>89</v>
      </c>
      <c r="T69" s="3" t="s">
        <v>89</v>
      </c>
    </row>
    <row r="70" spans="1:20" x14ac:dyDescent="0.25">
      <c r="A70" s="51" t="s">
        <v>202</v>
      </c>
      <c r="B70" s="3" t="s">
        <v>89</v>
      </c>
      <c r="C70" s="3" t="s">
        <v>89</v>
      </c>
      <c r="D70" s="3" t="s">
        <v>89</v>
      </c>
      <c r="E70" s="3" t="s">
        <v>89</v>
      </c>
      <c r="F70" s="3" t="s">
        <v>89</v>
      </c>
      <c r="G70" s="3" t="s">
        <v>89</v>
      </c>
      <c r="H70" s="3" t="s">
        <v>89</v>
      </c>
      <c r="I70" s="3" t="s">
        <v>89</v>
      </c>
      <c r="J70" s="3" t="s">
        <v>89</v>
      </c>
      <c r="K70" s="3" t="s">
        <v>89</v>
      </c>
      <c r="L70" s="3" t="s">
        <v>89</v>
      </c>
      <c r="M70" s="3" t="s">
        <v>89</v>
      </c>
      <c r="N70" s="3" t="s">
        <v>89</v>
      </c>
      <c r="O70" s="3">
        <v>1.8272425249169482</v>
      </c>
      <c r="P70" s="3">
        <v>10.676446617766896</v>
      </c>
      <c r="Q70" s="3">
        <v>78.262694083088618</v>
      </c>
      <c r="R70" s="3">
        <v>55.404178019981941</v>
      </c>
      <c r="S70" s="3">
        <v>65.287107258938349</v>
      </c>
      <c r="T70" s="3">
        <v>59.655946148092589</v>
      </c>
    </row>
    <row r="71" spans="1:20" x14ac:dyDescent="0.25">
      <c r="A71" s="51" t="s">
        <v>203</v>
      </c>
      <c r="B71" s="3" t="s">
        <v>89</v>
      </c>
      <c r="C71" s="3" t="s">
        <v>89</v>
      </c>
      <c r="D71" s="3" t="s">
        <v>89</v>
      </c>
      <c r="E71" s="3" t="s">
        <v>89</v>
      </c>
      <c r="F71" s="3" t="s">
        <v>89</v>
      </c>
      <c r="G71" s="3">
        <v>7.2822604136327199E-2</v>
      </c>
      <c r="H71" s="3">
        <v>4.4326241134751879E-2</v>
      </c>
      <c r="I71" s="3">
        <v>8.0959740928828808E-2</v>
      </c>
      <c r="J71" s="3">
        <v>0.65008631851532062</v>
      </c>
      <c r="K71" s="3">
        <v>2.2315421409839562</v>
      </c>
      <c r="L71" s="3">
        <v>76.788027267276888</v>
      </c>
      <c r="M71" s="3">
        <v>48.528281412488127</v>
      </c>
      <c r="N71" s="3">
        <v>60.23940090807239</v>
      </c>
      <c r="O71" s="3">
        <v>73.687072339554931</v>
      </c>
      <c r="P71" s="3">
        <v>56.692312233933229</v>
      </c>
      <c r="Q71" s="3">
        <v>57.899171006435878</v>
      </c>
      <c r="R71" s="3">
        <v>50.388214895893036</v>
      </c>
      <c r="S71" s="3">
        <v>59.427031251365648</v>
      </c>
      <c r="T71" s="3">
        <v>47.353005252838422</v>
      </c>
    </row>
    <row r="72" spans="1:20" x14ac:dyDescent="0.25">
      <c r="A72" s="51" t="s">
        <v>204</v>
      </c>
      <c r="B72" s="3" t="s">
        <v>89</v>
      </c>
      <c r="C72" s="3" t="s">
        <v>89</v>
      </c>
      <c r="D72" s="3" t="s">
        <v>89</v>
      </c>
      <c r="E72" s="3" t="s">
        <v>89</v>
      </c>
      <c r="F72" s="3" t="s">
        <v>89</v>
      </c>
      <c r="G72" s="3" t="s">
        <v>89</v>
      </c>
      <c r="H72" s="3" t="s">
        <v>89</v>
      </c>
      <c r="I72" s="3">
        <v>1.161369193154034</v>
      </c>
      <c r="J72" s="3" t="s">
        <v>89</v>
      </c>
      <c r="K72" s="3">
        <v>84.886817576564638</v>
      </c>
      <c r="L72" s="3">
        <v>57.856450048496541</v>
      </c>
      <c r="M72" s="3" t="s">
        <v>89</v>
      </c>
      <c r="N72" s="3" t="s">
        <v>89</v>
      </c>
      <c r="O72" s="3" t="s">
        <v>89</v>
      </c>
      <c r="P72" s="3" t="s">
        <v>89</v>
      </c>
      <c r="Q72" s="3" t="s">
        <v>89</v>
      </c>
      <c r="R72" s="3" t="s">
        <v>89</v>
      </c>
      <c r="S72" s="3" t="s">
        <v>89</v>
      </c>
      <c r="T72" s="3" t="s">
        <v>89</v>
      </c>
    </row>
    <row r="73" spans="1:20" x14ac:dyDescent="0.25">
      <c r="A73" s="51" t="s">
        <v>205</v>
      </c>
      <c r="B73" s="3" t="s">
        <v>89</v>
      </c>
      <c r="C73" s="3" t="s">
        <v>89</v>
      </c>
      <c r="D73" s="3" t="s">
        <v>89</v>
      </c>
      <c r="E73" s="3" t="s">
        <v>89</v>
      </c>
      <c r="F73" s="3" t="s">
        <v>89</v>
      </c>
      <c r="G73" s="3" t="s">
        <v>89</v>
      </c>
      <c r="H73" s="3" t="s">
        <v>89</v>
      </c>
      <c r="I73" s="3" t="s">
        <v>89</v>
      </c>
      <c r="J73" s="3" t="s">
        <v>89</v>
      </c>
      <c r="K73" s="3" t="s">
        <v>89</v>
      </c>
      <c r="L73" s="3" t="s">
        <v>89</v>
      </c>
      <c r="M73" s="3" t="s">
        <v>89</v>
      </c>
      <c r="N73" s="3" t="s">
        <v>89</v>
      </c>
      <c r="O73" s="3" t="s">
        <v>89</v>
      </c>
      <c r="P73" s="3" t="s">
        <v>89</v>
      </c>
      <c r="Q73" s="3" t="s">
        <v>89</v>
      </c>
      <c r="R73" s="3" t="s">
        <v>89</v>
      </c>
      <c r="S73" s="3" t="s">
        <v>89</v>
      </c>
      <c r="T73" s="3" t="s">
        <v>89</v>
      </c>
    </row>
    <row r="74" spans="1:20" x14ac:dyDescent="0.25">
      <c r="A74" s="51" t="s">
        <v>206</v>
      </c>
      <c r="B74" s="3" t="s">
        <v>89</v>
      </c>
      <c r="C74" s="3" t="s">
        <v>89</v>
      </c>
      <c r="D74" s="3" t="s">
        <v>89</v>
      </c>
      <c r="E74" s="3" t="s">
        <v>89</v>
      </c>
      <c r="F74" s="3" t="s">
        <v>89</v>
      </c>
      <c r="G74" s="3" t="s">
        <v>89</v>
      </c>
      <c r="H74" s="3" t="s">
        <v>89</v>
      </c>
      <c r="I74" s="3" t="s">
        <v>89</v>
      </c>
      <c r="J74" s="3" t="s">
        <v>89</v>
      </c>
      <c r="K74" s="3" t="s">
        <v>89</v>
      </c>
      <c r="L74" s="3">
        <v>49.269857347851755</v>
      </c>
      <c r="M74" s="3">
        <v>53.962478681068681</v>
      </c>
      <c r="N74" s="3">
        <v>71.171494693160923</v>
      </c>
      <c r="O74" s="3">
        <v>66.649516739553832</v>
      </c>
      <c r="P74" s="3" t="s">
        <v>89</v>
      </c>
      <c r="Q74" s="3" t="s">
        <v>89</v>
      </c>
      <c r="R74" s="3">
        <v>31.180292891087184</v>
      </c>
      <c r="S74" s="3">
        <v>24.015038053611267</v>
      </c>
      <c r="T74" s="3">
        <v>18.339127076091046</v>
      </c>
    </row>
    <row r="75" spans="1:20" x14ac:dyDescent="0.25">
      <c r="A75" s="51" t="s">
        <v>207</v>
      </c>
      <c r="B75" s="3" t="s">
        <v>89</v>
      </c>
      <c r="C75" s="3" t="s">
        <v>89</v>
      </c>
      <c r="D75" s="3" t="s">
        <v>89</v>
      </c>
      <c r="E75" s="3" t="s">
        <v>89</v>
      </c>
      <c r="F75" s="3" t="s">
        <v>89</v>
      </c>
      <c r="G75" s="3" t="s">
        <v>89</v>
      </c>
      <c r="H75" s="3">
        <v>4.5664739884393191</v>
      </c>
      <c r="I75" s="3" t="s">
        <v>89</v>
      </c>
      <c r="J75" s="3">
        <v>3.9876951122251363</v>
      </c>
      <c r="K75" s="3">
        <v>4.4270529143791588</v>
      </c>
      <c r="L75" s="3">
        <v>31.426131511528521</v>
      </c>
      <c r="M75" s="3">
        <v>23.584905660377338</v>
      </c>
      <c r="N75" s="3">
        <v>18.038091715976325</v>
      </c>
      <c r="O75" s="3">
        <v>56.075013206550473</v>
      </c>
      <c r="P75" s="3">
        <v>13.778834301813697</v>
      </c>
      <c r="Q75" s="3">
        <v>53.929008567931511</v>
      </c>
      <c r="R75" s="3">
        <v>54.350089232599629</v>
      </c>
      <c r="S75" s="3">
        <v>53.474786812596555</v>
      </c>
      <c r="T75" s="3">
        <v>51.512805241215034</v>
      </c>
    </row>
    <row r="76" spans="1:20" x14ac:dyDescent="0.25">
      <c r="A76" s="51" t="s">
        <v>208</v>
      </c>
      <c r="B76" s="3" t="s">
        <v>89</v>
      </c>
      <c r="C76" s="3" t="s">
        <v>89</v>
      </c>
      <c r="D76" s="3" t="s">
        <v>89</v>
      </c>
      <c r="E76" s="3" t="s">
        <v>89</v>
      </c>
      <c r="F76" s="3" t="s">
        <v>89</v>
      </c>
      <c r="G76" s="3" t="s">
        <v>89</v>
      </c>
      <c r="H76" s="3" t="s">
        <v>89</v>
      </c>
      <c r="I76" s="3" t="s">
        <v>89</v>
      </c>
      <c r="J76" s="3" t="s">
        <v>89</v>
      </c>
      <c r="K76" s="3" t="s">
        <v>89</v>
      </c>
      <c r="L76" s="3" t="s">
        <v>89</v>
      </c>
      <c r="M76" s="3">
        <v>1.3896661070695748</v>
      </c>
      <c r="N76" s="3">
        <v>14.87662337662333</v>
      </c>
      <c r="O76" s="3">
        <v>6.2455554269270763</v>
      </c>
      <c r="P76" s="3">
        <v>8.3509914258851303</v>
      </c>
      <c r="Q76" s="3">
        <v>77.213030032074741</v>
      </c>
      <c r="R76" s="3">
        <v>80.633671824407244</v>
      </c>
      <c r="S76" s="3">
        <v>69.752509334781394</v>
      </c>
      <c r="T76" s="3" t="s">
        <v>89</v>
      </c>
    </row>
    <row r="77" spans="1:20" x14ac:dyDescent="0.25">
      <c r="A77" s="51" t="s">
        <v>209</v>
      </c>
      <c r="B77" s="3" t="s">
        <v>89</v>
      </c>
      <c r="C77" s="3" t="s">
        <v>89</v>
      </c>
      <c r="D77" s="3" t="s">
        <v>89</v>
      </c>
      <c r="E77" s="3" t="s">
        <v>89</v>
      </c>
      <c r="F77" s="3" t="s">
        <v>89</v>
      </c>
      <c r="G77" s="3">
        <v>0.31941398181469738</v>
      </c>
      <c r="H77" s="3">
        <v>1.1840825474690226</v>
      </c>
      <c r="I77" s="3">
        <v>2.4573863636363722</v>
      </c>
      <c r="J77" s="3" t="s">
        <v>89</v>
      </c>
      <c r="K77" s="3">
        <v>4.2857142857142732</v>
      </c>
      <c r="L77" s="3">
        <v>3.3941236068895737</v>
      </c>
      <c r="M77" s="3">
        <v>1.7403574788334855</v>
      </c>
      <c r="N77" s="3">
        <v>0.85365853658536572</v>
      </c>
      <c r="O77" s="3">
        <v>0.29122679286494396</v>
      </c>
      <c r="P77" s="3">
        <v>0.19531249999999997</v>
      </c>
      <c r="Q77" s="3">
        <v>0.1547029702970297</v>
      </c>
      <c r="R77" s="3">
        <v>9.1213134691395539E-2</v>
      </c>
      <c r="S77" s="3">
        <v>8.9739754711337175E-2</v>
      </c>
      <c r="T77" s="3">
        <v>0.11672016340822874</v>
      </c>
    </row>
    <row r="78" spans="1:20" x14ac:dyDescent="0.25">
      <c r="A78" s="51" t="s">
        <v>210</v>
      </c>
      <c r="B78" s="3" t="s">
        <v>89</v>
      </c>
      <c r="C78" s="3" t="s">
        <v>89</v>
      </c>
      <c r="D78" s="3" t="s">
        <v>89</v>
      </c>
      <c r="E78" s="3" t="s">
        <v>89</v>
      </c>
      <c r="F78" s="3" t="s">
        <v>89</v>
      </c>
      <c r="G78" s="3" t="s">
        <v>89</v>
      </c>
      <c r="H78" s="3" t="s">
        <v>89</v>
      </c>
      <c r="I78" s="3" t="s">
        <v>89</v>
      </c>
      <c r="J78" s="3" t="s">
        <v>89</v>
      </c>
      <c r="K78" s="3" t="s">
        <v>89</v>
      </c>
      <c r="L78" s="3">
        <v>26.694855532064825</v>
      </c>
      <c r="M78" s="3">
        <v>26.279533895577085</v>
      </c>
      <c r="N78" s="3">
        <v>59.199234275887832</v>
      </c>
      <c r="O78" s="3">
        <v>27.692395426420674</v>
      </c>
      <c r="P78" s="3">
        <v>54.839585566273577</v>
      </c>
      <c r="Q78" s="3">
        <v>57.142857142857139</v>
      </c>
      <c r="R78" s="3">
        <v>60.876402778837921</v>
      </c>
      <c r="S78" s="3">
        <v>54.643979625013287</v>
      </c>
      <c r="T78" s="3" t="s">
        <v>89</v>
      </c>
    </row>
    <row r="79" spans="1:20" x14ac:dyDescent="0.25">
      <c r="A79" s="51" t="s">
        <v>211</v>
      </c>
      <c r="B79" s="3" t="s">
        <v>89</v>
      </c>
      <c r="C79" s="3" t="s">
        <v>89</v>
      </c>
      <c r="D79" s="3" t="s">
        <v>89</v>
      </c>
      <c r="E79" s="3" t="s">
        <v>89</v>
      </c>
      <c r="F79" s="3">
        <v>46.750524109014783</v>
      </c>
      <c r="G79" s="3">
        <v>2.9676735559088403</v>
      </c>
      <c r="H79" s="3">
        <v>2.3622941510505386</v>
      </c>
      <c r="I79" s="3">
        <v>8.1278842556021864</v>
      </c>
      <c r="J79" s="3">
        <v>11.231113598209241</v>
      </c>
      <c r="K79" s="3">
        <v>12.343492186741747</v>
      </c>
      <c r="L79" s="3">
        <v>13.654698329735268</v>
      </c>
      <c r="M79" s="3">
        <v>16.309466453227216</v>
      </c>
      <c r="N79" s="3">
        <v>47.870901047446843</v>
      </c>
      <c r="O79" s="3">
        <v>50.254566282695926</v>
      </c>
      <c r="P79" s="3">
        <v>80.211716937355277</v>
      </c>
      <c r="Q79" s="3">
        <v>80.85506105765586</v>
      </c>
      <c r="R79" s="3">
        <v>72.875966996182342</v>
      </c>
      <c r="S79" s="3">
        <v>66.107752956635906</v>
      </c>
      <c r="T79" s="3">
        <v>58.200627019356929</v>
      </c>
    </row>
    <row r="80" spans="1:20" x14ac:dyDescent="0.25">
      <c r="A80" s="51" t="s">
        <v>212</v>
      </c>
      <c r="B80" s="3" t="s">
        <v>89</v>
      </c>
      <c r="C80" s="3" t="s">
        <v>89</v>
      </c>
      <c r="D80" s="3" t="s">
        <v>89</v>
      </c>
      <c r="E80" s="3" t="s">
        <v>89</v>
      </c>
      <c r="F80" s="3" t="s">
        <v>89</v>
      </c>
      <c r="G80" s="3" t="s">
        <v>89</v>
      </c>
      <c r="H80" s="3" t="s">
        <v>89</v>
      </c>
      <c r="I80" s="3" t="s">
        <v>89</v>
      </c>
      <c r="J80" s="3" t="s">
        <v>89</v>
      </c>
      <c r="K80" s="3" t="s">
        <v>89</v>
      </c>
      <c r="L80" s="3" t="s">
        <v>89</v>
      </c>
      <c r="M80" s="3">
        <v>0.44115738938627125</v>
      </c>
      <c r="N80" s="3">
        <v>4.994219653179182</v>
      </c>
      <c r="O80" s="3" t="s">
        <v>89</v>
      </c>
      <c r="P80" s="3" t="s">
        <v>89</v>
      </c>
      <c r="Q80" s="3" t="s">
        <v>89</v>
      </c>
      <c r="R80" s="3" t="s">
        <v>89</v>
      </c>
      <c r="S80" s="3" t="s">
        <v>89</v>
      </c>
      <c r="T80" s="3" t="s">
        <v>89</v>
      </c>
    </row>
    <row r="81" spans="1:20" x14ac:dyDescent="0.25">
      <c r="A81" s="51" t="s">
        <v>213</v>
      </c>
      <c r="B81" s="3" t="s">
        <v>89</v>
      </c>
      <c r="C81" s="3" t="s">
        <v>89</v>
      </c>
      <c r="D81" s="3" t="s">
        <v>89</v>
      </c>
      <c r="E81" s="3" t="s">
        <v>89</v>
      </c>
      <c r="F81" s="3" t="s">
        <v>89</v>
      </c>
      <c r="G81" s="3" t="s">
        <v>89</v>
      </c>
      <c r="H81" s="3" t="s">
        <v>89</v>
      </c>
      <c r="I81" s="3" t="s">
        <v>89</v>
      </c>
      <c r="J81" s="3" t="s">
        <v>89</v>
      </c>
      <c r="K81" s="3" t="s">
        <v>89</v>
      </c>
      <c r="L81" s="3" t="s">
        <v>89</v>
      </c>
      <c r="M81" s="3">
        <v>75.206381855074</v>
      </c>
      <c r="N81" s="3">
        <v>74.350830972445323</v>
      </c>
      <c r="O81" s="3">
        <v>91.550057459609235</v>
      </c>
      <c r="P81" s="3">
        <v>87.266074856046032</v>
      </c>
      <c r="Q81" s="3">
        <v>13.831855832682608</v>
      </c>
      <c r="R81" s="3">
        <v>3.6090841512811509</v>
      </c>
      <c r="S81" s="3">
        <v>84.463772906638098</v>
      </c>
      <c r="T81" s="3">
        <v>66.297586144933987</v>
      </c>
    </row>
    <row r="82" spans="1:20" x14ac:dyDescent="0.25">
      <c r="A82" s="51" t="s">
        <v>214</v>
      </c>
      <c r="B82" s="3" t="s">
        <v>89</v>
      </c>
      <c r="C82" s="3" t="s">
        <v>89</v>
      </c>
      <c r="D82" s="3" t="s">
        <v>89</v>
      </c>
      <c r="E82" s="3" t="s">
        <v>89</v>
      </c>
      <c r="F82" s="3" t="s">
        <v>89</v>
      </c>
      <c r="G82" s="3" t="s">
        <v>89</v>
      </c>
      <c r="H82" s="3" t="s">
        <v>89</v>
      </c>
      <c r="I82" s="3" t="s">
        <v>89</v>
      </c>
      <c r="J82" s="3" t="s">
        <v>89</v>
      </c>
      <c r="K82" s="3" t="s">
        <v>89</v>
      </c>
      <c r="L82" s="3" t="s">
        <v>89</v>
      </c>
      <c r="M82" s="3" t="s">
        <v>89</v>
      </c>
      <c r="N82" s="3">
        <v>23.719008264462786</v>
      </c>
      <c r="O82" s="3">
        <v>28.982802293027671</v>
      </c>
      <c r="P82" s="3">
        <v>30.613393359594816</v>
      </c>
      <c r="Q82" s="3">
        <v>18.869098105739386</v>
      </c>
      <c r="R82" s="3">
        <v>13.688796940630638</v>
      </c>
      <c r="S82" s="3">
        <v>9.9891149627396807</v>
      </c>
      <c r="T82" s="3">
        <v>8.3650985122637653</v>
      </c>
    </row>
    <row r="83" spans="1:20" x14ac:dyDescent="0.25">
      <c r="A83" s="51" t="s">
        <v>215</v>
      </c>
      <c r="B83" s="3" t="s">
        <v>89</v>
      </c>
      <c r="C83" s="3" t="s">
        <v>89</v>
      </c>
      <c r="D83" s="3" t="s">
        <v>89</v>
      </c>
      <c r="E83" s="3" t="s">
        <v>89</v>
      </c>
      <c r="F83" s="3" t="s">
        <v>89</v>
      </c>
      <c r="G83" s="3" t="s">
        <v>89</v>
      </c>
      <c r="H83" s="3" t="s">
        <v>89</v>
      </c>
      <c r="I83" s="3" t="s">
        <v>89</v>
      </c>
      <c r="J83" s="3" t="s">
        <v>89</v>
      </c>
      <c r="K83" s="3" t="s">
        <v>89</v>
      </c>
      <c r="L83" s="3" t="s">
        <v>89</v>
      </c>
      <c r="M83" s="3" t="s">
        <v>89</v>
      </c>
      <c r="N83" s="3">
        <v>62.88032454361062</v>
      </c>
      <c r="O83" s="3">
        <v>59.280667951188207</v>
      </c>
      <c r="P83" s="3">
        <v>60.53593179049934</v>
      </c>
      <c r="Q83" s="3">
        <v>74.084394904458733</v>
      </c>
      <c r="R83" s="3">
        <v>77.563540753724624</v>
      </c>
      <c r="S83" s="3">
        <v>77.193365342645166</v>
      </c>
      <c r="T83" s="3">
        <v>76.502164502164234</v>
      </c>
    </row>
    <row r="84" spans="1:20" x14ac:dyDescent="0.25">
      <c r="A84" s="51" t="s">
        <v>216</v>
      </c>
      <c r="B84" s="3" t="s">
        <v>89</v>
      </c>
      <c r="C84" s="3" t="s">
        <v>89</v>
      </c>
      <c r="D84" s="3" t="s">
        <v>89</v>
      </c>
      <c r="E84" s="3" t="s">
        <v>89</v>
      </c>
      <c r="F84" s="3" t="s">
        <v>89</v>
      </c>
      <c r="G84" s="3" t="s">
        <v>89</v>
      </c>
      <c r="H84" s="3">
        <v>1.6103459061835954</v>
      </c>
      <c r="I84" s="3">
        <v>12.695555718336987</v>
      </c>
      <c r="J84" s="3" t="s">
        <v>89</v>
      </c>
      <c r="K84" s="3" t="s">
        <v>89</v>
      </c>
      <c r="L84" s="3">
        <v>39.619922274900389</v>
      </c>
      <c r="M84" s="3">
        <v>43.254399967464074</v>
      </c>
      <c r="N84" s="3">
        <v>43.928619347913674</v>
      </c>
      <c r="O84" s="3">
        <v>36.569095670928995</v>
      </c>
      <c r="P84" s="3" t="s">
        <v>89</v>
      </c>
      <c r="Q84" s="3" t="s">
        <v>89</v>
      </c>
      <c r="R84" s="3" t="s">
        <v>89</v>
      </c>
      <c r="S84" s="3" t="s">
        <v>89</v>
      </c>
      <c r="T84" s="3" t="s">
        <v>89</v>
      </c>
    </row>
    <row r="85" spans="1:20" x14ac:dyDescent="0.25">
      <c r="A85" s="51" t="s">
        <v>217</v>
      </c>
      <c r="B85" s="3" t="s">
        <v>89</v>
      </c>
      <c r="C85" s="3" t="s">
        <v>89</v>
      </c>
      <c r="D85" s="3" t="s">
        <v>89</v>
      </c>
      <c r="E85" s="3" t="s">
        <v>89</v>
      </c>
      <c r="F85" s="3" t="s">
        <v>89</v>
      </c>
      <c r="G85" s="3" t="s">
        <v>89</v>
      </c>
      <c r="H85" s="3" t="s">
        <v>89</v>
      </c>
      <c r="I85" s="3" t="s">
        <v>89</v>
      </c>
      <c r="J85" s="3" t="s">
        <v>89</v>
      </c>
      <c r="K85" s="3" t="s">
        <v>89</v>
      </c>
      <c r="L85" s="3" t="s">
        <v>89</v>
      </c>
      <c r="M85" s="3" t="s">
        <v>89</v>
      </c>
      <c r="N85" s="3" t="s">
        <v>89</v>
      </c>
      <c r="O85" s="3" t="s">
        <v>89</v>
      </c>
      <c r="P85" s="3" t="s">
        <v>89</v>
      </c>
      <c r="Q85" s="3" t="s">
        <v>89</v>
      </c>
      <c r="R85" s="3" t="s">
        <v>89</v>
      </c>
      <c r="S85" s="3">
        <v>23.987181199092014</v>
      </c>
      <c r="T85" s="3">
        <v>36.502171538871828</v>
      </c>
    </row>
    <row r="86" spans="1:20" x14ac:dyDescent="0.25">
      <c r="A86" s="51" t="s">
        <v>218</v>
      </c>
      <c r="B86" s="3" t="s">
        <v>89</v>
      </c>
      <c r="C86" s="3" t="s">
        <v>89</v>
      </c>
      <c r="D86" s="3" t="s">
        <v>89</v>
      </c>
      <c r="E86" s="3" t="s">
        <v>89</v>
      </c>
      <c r="F86" s="3" t="s">
        <v>89</v>
      </c>
      <c r="G86" s="3" t="s">
        <v>89</v>
      </c>
      <c r="H86" s="3" t="s">
        <v>89</v>
      </c>
      <c r="I86" s="3" t="s">
        <v>89</v>
      </c>
      <c r="J86" s="3" t="s">
        <v>89</v>
      </c>
      <c r="K86" s="3" t="s">
        <v>89</v>
      </c>
      <c r="L86" s="3" t="s">
        <v>89</v>
      </c>
      <c r="M86" s="3" t="s">
        <v>89</v>
      </c>
      <c r="N86" s="3" t="s">
        <v>89</v>
      </c>
      <c r="O86" s="3" t="s">
        <v>89</v>
      </c>
      <c r="P86" s="3">
        <v>11.627906976744233</v>
      </c>
      <c r="Q86" s="3">
        <v>13.333333333333378</v>
      </c>
      <c r="R86" s="3">
        <v>13.586956521739124</v>
      </c>
      <c r="S86" s="3" t="s">
        <v>89</v>
      </c>
      <c r="T86" s="3" t="s">
        <v>89</v>
      </c>
    </row>
    <row r="87" spans="1:20" x14ac:dyDescent="0.25">
      <c r="A87" s="51" t="s">
        <v>219</v>
      </c>
      <c r="B87" s="3" t="s">
        <v>89</v>
      </c>
      <c r="C87" s="3" t="s">
        <v>89</v>
      </c>
      <c r="D87" s="3" t="s">
        <v>89</v>
      </c>
      <c r="E87" s="3" t="s">
        <v>89</v>
      </c>
      <c r="F87" s="3" t="s">
        <v>89</v>
      </c>
      <c r="G87" s="3" t="s">
        <v>89</v>
      </c>
      <c r="H87" s="3" t="s">
        <v>89</v>
      </c>
      <c r="I87" s="3" t="s">
        <v>89</v>
      </c>
      <c r="J87" s="3" t="s">
        <v>89</v>
      </c>
      <c r="K87" s="3">
        <v>37.898439500841981</v>
      </c>
      <c r="L87" s="3">
        <v>76.566523361528155</v>
      </c>
      <c r="M87" s="3">
        <v>73.628353189603345</v>
      </c>
      <c r="N87" s="3">
        <v>61.843910508382763</v>
      </c>
      <c r="O87" s="3">
        <v>58.802109821655321</v>
      </c>
      <c r="P87" s="3">
        <v>47.687698543454879</v>
      </c>
      <c r="Q87" s="3">
        <v>34.045862920808517</v>
      </c>
      <c r="R87" s="3">
        <v>13.093043511100833</v>
      </c>
      <c r="S87" s="3">
        <v>7.1808289469226434</v>
      </c>
      <c r="T87" s="3">
        <v>4.0200668896321039</v>
      </c>
    </row>
    <row r="88" spans="1:20" x14ac:dyDescent="0.25">
      <c r="A88" s="51" t="s">
        <v>220</v>
      </c>
      <c r="B88" s="3" t="s">
        <v>89</v>
      </c>
      <c r="C88" s="3" t="s">
        <v>89</v>
      </c>
      <c r="D88" s="3" t="s">
        <v>89</v>
      </c>
      <c r="E88" s="3" t="s">
        <v>89</v>
      </c>
      <c r="F88" s="3" t="s">
        <v>89</v>
      </c>
      <c r="G88" s="3" t="s">
        <v>89</v>
      </c>
      <c r="H88" s="3" t="s">
        <v>89</v>
      </c>
      <c r="I88" s="3" t="s">
        <v>89</v>
      </c>
      <c r="J88" s="3" t="s">
        <v>89</v>
      </c>
      <c r="K88" s="3" t="s">
        <v>89</v>
      </c>
      <c r="L88" s="3">
        <v>100</v>
      </c>
      <c r="M88" s="3">
        <v>30.000000000000071</v>
      </c>
      <c r="N88" s="3">
        <v>37.500000000000114</v>
      </c>
      <c r="O88" s="3">
        <v>37.499999999999986</v>
      </c>
      <c r="P88" s="3">
        <v>25.00000000000005</v>
      </c>
      <c r="Q88" s="3" t="s">
        <v>89</v>
      </c>
      <c r="R88" s="3">
        <v>30.000000000000053</v>
      </c>
      <c r="S88" s="3">
        <v>29.99999999999995</v>
      </c>
      <c r="T88" s="3">
        <v>29.999999999999943</v>
      </c>
    </row>
    <row r="89" spans="1:20" x14ac:dyDescent="0.25">
      <c r="A89" s="51" t="s">
        <v>221</v>
      </c>
      <c r="B89" s="3" t="s">
        <v>89</v>
      </c>
      <c r="C89" s="3" t="s">
        <v>89</v>
      </c>
      <c r="D89" s="3" t="s">
        <v>89</v>
      </c>
      <c r="E89" s="3" t="s">
        <v>89</v>
      </c>
      <c r="F89" s="3" t="s">
        <v>89</v>
      </c>
      <c r="G89" s="3" t="s">
        <v>89</v>
      </c>
      <c r="H89" s="3" t="s">
        <v>89</v>
      </c>
      <c r="I89" s="3" t="s">
        <v>89</v>
      </c>
      <c r="J89" s="3" t="s">
        <v>89</v>
      </c>
      <c r="K89" s="3" t="s">
        <v>89</v>
      </c>
      <c r="L89" s="3" t="s">
        <v>89</v>
      </c>
      <c r="M89" s="3" t="s">
        <v>89</v>
      </c>
      <c r="N89" s="3" t="s">
        <v>89</v>
      </c>
      <c r="O89" s="3" t="s">
        <v>89</v>
      </c>
      <c r="P89" s="3" t="s">
        <v>89</v>
      </c>
      <c r="Q89" s="3" t="s">
        <v>89</v>
      </c>
      <c r="R89" s="3">
        <v>4.99997184338162</v>
      </c>
      <c r="S89" s="3">
        <v>5.0000034984141735</v>
      </c>
      <c r="T89" s="3">
        <v>5.0310299393574196</v>
      </c>
    </row>
    <row r="90" spans="1:20" x14ac:dyDescent="0.25">
      <c r="A90" s="51" t="s">
        <v>222</v>
      </c>
      <c r="B90" s="3" t="s">
        <v>89</v>
      </c>
      <c r="C90" s="3" t="s">
        <v>89</v>
      </c>
      <c r="D90" s="3" t="s">
        <v>89</v>
      </c>
      <c r="E90" s="3" t="s">
        <v>89</v>
      </c>
      <c r="F90" s="3" t="s">
        <v>89</v>
      </c>
      <c r="G90" s="3" t="s">
        <v>89</v>
      </c>
      <c r="H90" s="3" t="s">
        <v>89</v>
      </c>
      <c r="I90" s="3" t="s">
        <v>89</v>
      </c>
      <c r="J90" s="3" t="s">
        <v>89</v>
      </c>
      <c r="K90" s="3" t="s">
        <v>89</v>
      </c>
      <c r="L90" s="3">
        <v>1.4635549097953786</v>
      </c>
      <c r="M90" s="3">
        <v>4.1486372864672045</v>
      </c>
      <c r="N90" s="3">
        <v>12.415430267062307</v>
      </c>
      <c r="O90" s="3">
        <v>15.499311821379418</v>
      </c>
      <c r="P90" s="3">
        <v>10.21348631618546</v>
      </c>
      <c r="Q90" s="3">
        <v>7.314157780897804</v>
      </c>
      <c r="R90" s="3">
        <v>4.6416546416546405</v>
      </c>
      <c r="S90" s="3">
        <v>0.69048174625061176</v>
      </c>
      <c r="T90" s="3">
        <v>0.54694063287594363</v>
      </c>
    </row>
    <row r="91" spans="1:20" x14ac:dyDescent="0.25">
      <c r="A91" s="51" t="s">
        <v>223</v>
      </c>
      <c r="B91" s="3" t="s">
        <v>89</v>
      </c>
      <c r="C91" s="3" t="s">
        <v>89</v>
      </c>
      <c r="D91" s="3" t="s">
        <v>89</v>
      </c>
      <c r="E91" s="3" t="s">
        <v>89</v>
      </c>
      <c r="F91" s="3">
        <v>7.9999999999999893</v>
      </c>
      <c r="G91" s="3">
        <v>8</v>
      </c>
      <c r="H91" s="3">
        <v>7.9996621050853189</v>
      </c>
      <c r="I91" s="3">
        <v>8.0000000000000089</v>
      </c>
      <c r="J91" s="3" t="s">
        <v>89</v>
      </c>
      <c r="K91" s="3">
        <v>7.9097068734374592</v>
      </c>
      <c r="L91" s="3" t="s">
        <v>89</v>
      </c>
      <c r="M91" s="3" t="s">
        <v>89</v>
      </c>
      <c r="N91" s="3" t="s">
        <v>89</v>
      </c>
      <c r="O91" s="3" t="s">
        <v>89</v>
      </c>
      <c r="P91" s="3" t="s">
        <v>89</v>
      </c>
      <c r="Q91" s="3" t="s">
        <v>89</v>
      </c>
      <c r="R91" s="3">
        <v>24.979227253842897</v>
      </c>
      <c r="S91" s="3">
        <v>79.928457869634315</v>
      </c>
      <c r="T91" s="3">
        <v>32.691008959524531</v>
      </c>
    </row>
    <row r="92" spans="1:20" x14ac:dyDescent="0.25">
      <c r="A92" s="51" t="s">
        <v>224</v>
      </c>
      <c r="B92" s="3" t="s">
        <v>89</v>
      </c>
      <c r="C92" s="3" t="s">
        <v>89</v>
      </c>
      <c r="D92" s="3" t="s">
        <v>89</v>
      </c>
      <c r="E92" s="3" t="s">
        <v>89</v>
      </c>
      <c r="F92" s="3" t="s">
        <v>89</v>
      </c>
      <c r="G92" s="3" t="s">
        <v>89</v>
      </c>
      <c r="H92" s="3">
        <v>0.28632348461772705</v>
      </c>
      <c r="I92" s="3">
        <v>1.1334088939262668</v>
      </c>
      <c r="J92" s="3">
        <v>0.43875957462631038</v>
      </c>
      <c r="K92" s="3">
        <v>1.0525802836119107</v>
      </c>
      <c r="L92" s="3">
        <v>4.8439504061564591</v>
      </c>
      <c r="M92" s="3">
        <v>40.369368235590173</v>
      </c>
      <c r="N92" s="3">
        <v>45.628202272220982</v>
      </c>
      <c r="O92" s="3">
        <v>57.311568920640212</v>
      </c>
      <c r="P92" s="3">
        <v>71.442553239360578</v>
      </c>
      <c r="Q92" s="3">
        <v>77.479742944956683</v>
      </c>
      <c r="R92" s="3">
        <v>74.317550129045131</v>
      </c>
      <c r="S92" s="3">
        <v>74.271799736251452</v>
      </c>
      <c r="T92" s="3">
        <v>75.919722967757494</v>
      </c>
    </row>
    <row r="93" spans="1:20" x14ac:dyDescent="0.25">
      <c r="A93" s="51" t="s">
        <v>225</v>
      </c>
      <c r="B93" s="3" t="s">
        <v>89</v>
      </c>
      <c r="C93" s="3" t="s">
        <v>89</v>
      </c>
      <c r="D93" s="3" t="s">
        <v>89</v>
      </c>
      <c r="E93" s="3" t="s">
        <v>89</v>
      </c>
      <c r="F93" s="3" t="s">
        <v>89</v>
      </c>
      <c r="G93" s="3" t="s">
        <v>89</v>
      </c>
      <c r="H93" s="3" t="s">
        <v>89</v>
      </c>
      <c r="I93" s="3">
        <v>4.02892705653292</v>
      </c>
      <c r="J93" s="3">
        <v>5.460179375649572</v>
      </c>
      <c r="K93" s="3">
        <v>8.0435382371874944</v>
      </c>
      <c r="L93" s="3">
        <v>7.9780714324916095</v>
      </c>
      <c r="M93" s="3">
        <v>8.2832859199943893</v>
      </c>
      <c r="N93" s="3">
        <v>18.123431744167394</v>
      </c>
      <c r="O93" s="3">
        <v>25.944567015995613</v>
      </c>
      <c r="P93" s="3">
        <v>28.87527883223111</v>
      </c>
      <c r="Q93" s="3">
        <v>30.420080506829379</v>
      </c>
      <c r="R93" s="3">
        <v>40.157208047415743</v>
      </c>
      <c r="S93" s="3">
        <v>41.478738102548398</v>
      </c>
      <c r="T93" s="3">
        <v>41.30369725494468</v>
      </c>
    </row>
    <row r="94" spans="1:20" x14ac:dyDescent="0.25">
      <c r="A94" s="9" t="s">
        <v>40</v>
      </c>
      <c r="B94" s="11" t="s">
        <v>89</v>
      </c>
      <c r="C94" s="11" t="s">
        <v>89</v>
      </c>
      <c r="D94" s="11" t="s">
        <v>89</v>
      </c>
      <c r="E94" s="11" t="s">
        <v>89</v>
      </c>
      <c r="F94" s="11" t="s">
        <v>89</v>
      </c>
      <c r="G94" s="11" t="s">
        <v>89</v>
      </c>
      <c r="H94" s="11" t="s">
        <v>89</v>
      </c>
      <c r="I94" s="11" t="s">
        <v>89</v>
      </c>
      <c r="J94" s="11" t="s">
        <v>89</v>
      </c>
      <c r="K94" s="11" t="s">
        <v>89</v>
      </c>
      <c r="L94" s="11" t="s">
        <v>89</v>
      </c>
      <c r="M94" s="11" t="s">
        <v>89</v>
      </c>
      <c r="N94" s="11" t="s">
        <v>89</v>
      </c>
      <c r="O94" s="11" t="s">
        <v>89</v>
      </c>
      <c r="P94" s="11" t="s">
        <v>89</v>
      </c>
      <c r="Q94" s="11" t="s">
        <v>89</v>
      </c>
      <c r="R94" s="11" t="s">
        <v>89</v>
      </c>
      <c r="S94" s="11" t="s">
        <v>89</v>
      </c>
      <c r="T94" s="11" t="s">
        <v>89</v>
      </c>
    </row>
    <row r="95" spans="1:20" x14ac:dyDescent="0.25">
      <c r="A95" s="51" t="s">
        <v>183</v>
      </c>
      <c r="B95" s="3" t="s">
        <v>89</v>
      </c>
      <c r="C95" s="3" t="s">
        <v>89</v>
      </c>
      <c r="D95" s="3" t="s">
        <v>89</v>
      </c>
      <c r="E95" s="3" t="s">
        <v>89</v>
      </c>
      <c r="F95" s="3" t="s">
        <v>89</v>
      </c>
      <c r="G95" s="3" t="s">
        <v>89</v>
      </c>
      <c r="H95" s="3">
        <v>2.5289245748245377E-2</v>
      </c>
      <c r="I95" s="3">
        <v>2.9251170046801563E-2</v>
      </c>
      <c r="J95" s="3">
        <v>4.0391347275827889E-2</v>
      </c>
      <c r="K95" s="3">
        <v>1.4598290598290593</v>
      </c>
      <c r="L95" s="3">
        <v>2.0876337329313475</v>
      </c>
      <c r="M95" s="3">
        <v>10.498796090836144</v>
      </c>
      <c r="N95" s="3">
        <v>13.383340727824262</v>
      </c>
      <c r="O95" s="3">
        <v>16.140780022088144</v>
      </c>
      <c r="P95" s="3">
        <v>16.019417475728147</v>
      </c>
      <c r="Q95" s="3">
        <v>33.737943974456144</v>
      </c>
      <c r="R95" s="3">
        <v>40.598980710539458</v>
      </c>
      <c r="S95" s="3">
        <v>41.989114658925928</v>
      </c>
      <c r="T95" s="3">
        <v>24.049867829860975</v>
      </c>
    </row>
    <row r="96" spans="1:20" x14ac:dyDescent="0.25">
      <c r="A96" s="51" t="s">
        <v>184</v>
      </c>
      <c r="B96" s="3" t="s">
        <v>89</v>
      </c>
      <c r="C96" s="3" t="s">
        <v>89</v>
      </c>
      <c r="D96" s="3" t="s">
        <v>89</v>
      </c>
      <c r="E96" s="3" t="s">
        <v>89</v>
      </c>
      <c r="F96" s="3" t="s">
        <v>89</v>
      </c>
      <c r="G96" s="3" t="s">
        <v>89</v>
      </c>
      <c r="H96" s="3" t="s">
        <v>89</v>
      </c>
      <c r="I96" s="3" t="s">
        <v>89</v>
      </c>
      <c r="J96" s="3" t="s">
        <v>89</v>
      </c>
      <c r="K96" s="3" t="s">
        <v>89</v>
      </c>
      <c r="L96" s="3" t="s">
        <v>89</v>
      </c>
      <c r="M96" s="3" t="s">
        <v>89</v>
      </c>
      <c r="N96" s="3">
        <v>23.243054342128218</v>
      </c>
      <c r="O96" s="3">
        <v>23.562920766442279</v>
      </c>
      <c r="P96" s="3">
        <v>30.210340082563334</v>
      </c>
      <c r="Q96" s="3">
        <v>3.0919582402188039</v>
      </c>
      <c r="R96" s="3">
        <v>20.910102035881842</v>
      </c>
      <c r="S96" s="3">
        <v>79.527110435856059</v>
      </c>
      <c r="T96" s="3">
        <v>48.314187367809907</v>
      </c>
    </row>
    <row r="97" spans="1:20" x14ac:dyDescent="0.25">
      <c r="A97" s="51" t="s">
        <v>185</v>
      </c>
      <c r="B97" s="3" t="s">
        <v>89</v>
      </c>
      <c r="C97" s="3" t="s">
        <v>89</v>
      </c>
      <c r="D97" s="3" t="s">
        <v>89</v>
      </c>
      <c r="E97" s="3" t="s">
        <v>89</v>
      </c>
      <c r="F97" s="3" t="s">
        <v>89</v>
      </c>
      <c r="G97" s="3" t="s">
        <v>89</v>
      </c>
      <c r="H97" s="3" t="s">
        <v>89</v>
      </c>
      <c r="I97" s="3" t="s">
        <v>89</v>
      </c>
      <c r="J97" s="3" t="s">
        <v>89</v>
      </c>
      <c r="K97" s="3" t="s">
        <v>89</v>
      </c>
      <c r="L97" s="3" t="s">
        <v>89</v>
      </c>
      <c r="M97" s="3">
        <v>0.59264778095737958</v>
      </c>
      <c r="N97" s="3">
        <v>1.9424061170376754</v>
      </c>
      <c r="O97" s="3">
        <v>1.1836979322744972</v>
      </c>
      <c r="P97" s="3">
        <v>2.2326890139466613</v>
      </c>
      <c r="Q97" s="3">
        <v>18.661747719289945</v>
      </c>
      <c r="R97" s="3">
        <v>1.9160768832416402</v>
      </c>
      <c r="S97" s="3">
        <v>3.848101723732531</v>
      </c>
      <c r="T97" s="3">
        <v>13.060288258037048</v>
      </c>
    </row>
    <row r="98" spans="1:20" x14ac:dyDescent="0.25">
      <c r="A98" s="51" t="s">
        <v>186</v>
      </c>
      <c r="B98" s="3" t="s">
        <v>89</v>
      </c>
      <c r="C98" s="3" t="s">
        <v>89</v>
      </c>
      <c r="D98" s="3" t="s">
        <v>89</v>
      </c>
      <c r="E98" s="3" t="s">
        <v>89</v>
      </c>
      <c r="F98" s="3" t="s">
        <v>89</v>
      </c>
      <c r="G98" s="3" t="s">
        <v>89</v>
      </c>
      <c r="H98" s="3" t="s">
        <v>89</v>
      </c>
      <c r="I98" s="3" t="s">
        <v>89</v>
      </c>
      <c r="J98" s="3" t="s">
        <v>89</v>
      </c>
      <c r="K98" s="3" t="s">
        <v>89</v>
      </c>
      <c r="L98" s="3" t="s">
        <v>89</v>
      </c>
      <c r="M98" s="3" t="s">
        <v>89</v>
      </c>
      <c r="N98" s="3" t="s">
        <v>89</v>
      </c>
      <c r="O98" s="3" t="s">
        <v>89</v>
      </c>
      <c r="P98" s="3" t="s">
        <v>89</v>
      </c>
      <c r="Q98" s="3">
        <v>9.3211245439587955</v>
      </c>
      <c r="R98" s="3">
        <v>28.880977226689623</v>
      </c>
      <c r="S98" s="3" t="s">
        <v>89</v>
      </c>
      <c r="T98" s="3" t="s">
        <v>89</v>
      </c>
    </row>
    <row r="99" spans="1:20" x14ac:dyDescent="0.25">
      <c r="A99" s="51" t="s">
        <v>187</v>
      </c>
      <c r="B99" s="3" t="s">
        <v>89</v>
      </c>
      <c r="C99" s="3" t="s">
        <v>89</v>
      </c>
      <c r="D99" s="3" t="s">
        <v>89</v>
      </c>
      <c r="E99" s="3" t="s">
        <v>89</v>
      </c>
      <c r="F99" s="3" t="s">
        <v>89</v>
      </c>
      <c r="G99" s="3" t="s">
        <v>89</v>
      </c>
      <c r="H99" s="3" t="s">
        <v>89</v>
      </c>
      <c r="I99" s="3">
        <v>0.2849002849002828</v>
      </c>
      <c r="J99" s="3" t="s">
        <v>89</v>
      </c>
      <c r="K99" s="3" t="s">
        <v>89</v>
      </c>
      <c r="L99" s="3">
        <v>1.1187297004691448</v>
      </c>
      <c r="M99" s="3">
        <v>1.2634822804314343</v>
      </c>
      <c r="N99" s="3">
        <v>1.9672968829841597</v>
      </c>
      <c r="O99" s="3">
        <v>2.2363405336721711</v>
      </c>
      <c r="P99" s="3">
        <v>2.3901310717039341</v>
      </c>
      <c r="Q99" s="3">
        <v>3.3569739952718578</v>
      </c>
      <c r="R99" s="3">
        <v>4.1234505438907254</v>
      </c>
      <c r="S99" s="3">
        <v>4.3945068664169717</v>
      </c>
      <c r="T99" s="3">
        <v>14.147217235188531</v>
      </c>
    </row>
    <row r="100" spans="1:20" x14ac:dyDescent="0.25">
      <c r="A100" s="51" t="s">
        <v>189</v>
      </c>
      <c r="B100" s="3" t="s">
        <v>89</v>
      </c>
      <c r="C100" s="3" t="s">
        <v>89</v>
      </c>
      <c r="D100" s="3" t="s">
        <v>89</v>
      </c>
      <c r="E100" s="3" t="s">
        <v>89</v>
      </c>
      <c r="F100" s="3" t="s">
        <v>89</v>
      </c>
      <c r="G100" s="3" t="s">
        <v>89</v>
      </c>
      <c r="H100" s="3" t="s">
        <v>89</v>
      </c>
      <c r="I100" s="3">
        <v>43.610537450259521</v>
      </c>
      <c r="J100" s="3" t="s">
        <v>89</v>
      </c>
      <c r="K100" s="3" t="s">
        <v>89</v>
      </c>
      <c r="L100" s="3">
        <v>56.778126508932935</v>
      </c>
      <c r="M100" s="3">
        <v>72.981146644360052</v>
      </c>
      <c r="N100" s="3">
        <v>100</v>
      </c>
      <c r="O100" s="3">
        <v>100</v>
      </c>
      <c r="P100" s="3">
        <v>100</v>
      </c>
      <c r="Q100" s="3">
        <v>100</v>
      </c>
      <c r="R100" s="3">
        <v>100</v>
      </c>
      <c r="S100" s="3">
        <v>100</v>
      </c>
      <c r="T100" s="3">
        <v>100</v>
      </c>
    </row>
    <row r="101" spans="1:20" x14ac:dyDescent="0.25">
      <c r="A101" s="51" t="s">
        <v>188</v>
      </c>
      <c r="B101" s="3" t="s">
        <v>89</v>
      </c>
      <c r="C101" s="3" t="s">
        <v>89</v>
      </c>
      <c r="D101" s="3" t="s">
        <v>89</v>
      </c>
      <c r="E101" s="3" t="s">
        <v>89</v>
      </c>
      <c r="F101" s="3" t="s">
        <v>89</v>
      </c>
      <c r="G101" s="3" t="s">
        <v>89</v>
      </c>
      <c r="H101" s="3" t="s">
        <v>89</v>
      </c>
      <c r="I101" s="3" t="s">
        <v>89</v>
      </c>
      <c r="J101" s="3" t="s">
        <v>89</v>
      </c>
      <c r="K101" s="3" t="s">
        <v>89</v>
      </c>
      <c r="L101" s="3" t="s">
        <v>89</v>
      </c>
      <c r="M101" s="3" t="s">
        <v>89</v>
      </c>
      <c r="N101" s="3">
        <v>7.3025803043221149</v>
      </c>
      <c r="O101" s="3">
        <v>10.007250898782967</v>
      </c>
      <c r="P101" s="3">
        <v>13.019262762234693</v>
      </c>
      <c r="Q101" s="3">
        <v>17.371941337902122</v>
      </c>
      <c r="R101" s="3">
        <v>2.2958530281509759</v>
      </c>
      <c r="S101" s="3">
        <v>2.5447213353326656</v>
      </c>
      <c r="T101" s="3" t="s">
        <v>89</v>
      </c>
    </row>
    <row r="102" spans="1:20" x14ac:dyDescent="0.25">
      <c r="A102" s="51" t="s">
        <v>190</v>
      </c>
      <c r="B102" s="3" t="s">
        <v>89</v>
      </c>
      <c r="C102" s="3" t="s">
        <v>89</v>
      </c>
      <c r="D102" s="3" t="s">
        <v>89</v>
      </c>
      <c r="E102" s="3" t="s">
        <v>89</v>
      </c>
      <c r="F102" s="3" t="s">
        <v>89</v>
      </c>
      <c r="G102" s="3" t="s">
        <v>89</v>
      </c>
      <c r="H102" s="3" t="s">
        <v>89</v>
      </c>
      <c r="I102" s="3" t="s">
        <v>89</v>
      </c>
      <c r="J102" s="3" t="s">
        <v>89</v>
      </c>
      <c r="K102" s="3" t="s">
        <v>89</v>
      </c>
      <c r="L102" s="3" t="s">
        <v>89</v>
      </c>
      <c r="M102" s="3" t="s">
        <v>89</v>
      </c>
      <c r="N102" s="3" t="s">
        <v>89</v>
      </c>
      <c r="O102" s="3" t="s">
        <v>89</v>
      </c>
      <c r="P102" s="3" t="s">
        <v>89</v>
      </c>
      <c r="Q102" s="3" t="s">
        <v>89</v>
      </c>
      <c r="R102" s="3" t="s">
        <v>89</v>
      </c>
      <c r="S102" s="3" t="s">
        <v>89</v>
      </c>
      <c r="T102" s="3" t="s">
        <v>89</v>
      </c>
    </row>
    <row r="103" spans="1:20" x14ac:dyDescent="0.25">
      <c r="A103" s="51" t="s">
        <v>191</v>
      </c>
      <c r="B103" s="3" t="s">
        <v>89</v>
      </c>
      <c r="C103" s="3" t="s">
        <v>89</v>
      </c>
      <c r="D103" s="3" t="s">
        <v>89</v>
      </c>
      <c r="E103" s="3" t="s">
        <v>89</v>
      </c>
      <c r="F103" s="3" t="s">
        <v>89</v>
      </c>
      <c r="G103" s="3" t="s">
        <v>89</v>
      </c>
      <c r="H103" s="3" t="s">
        <v>89</v>
      </c>
      <c r="I103" s="3" t="s">
        <v>89</v>
      </c>
      <c r="J103" s="3" t="s">
        <v>89</v>
      </c>
      <c r="K103" s="3" t="s">
        <v>89</v>
      </c>
      <c r="L103" s="3" t="s">
        <v>89</v>
      </c>
      <c r="M103" s="3" t="s">
        <v>89</v>
      </c>
      <c r="N103" s="3" t="s">
        <v>89</v>
      </c>
      <c r="O103" s="3" t="s">
        <v>89</v>
      </c>
      <c r="P103" s="3" t="s">
        <v>89</v>
      </c>
      <c r="Q103" s="3" t="s">
        <v>89</v>
      </c>
      <c r="R103" s="3" t="s">
        <v>89</v>
      </c>
      <c r="S103" s="3" t="s">
        <v>89</v>
      </c>
      <c r="T103" s="3" t="s">
        <v>89</v>
      </c>
    </row>
    <row r="104" spans="1:20" x14ac:dyDescent="0.25">
      <c r="A104" s="51" t="s">
        <v>192</v>
      </c>
      <c r="B104" s="3" t="s">
        <v>89</v>
      </c>
      <c r="C104" s="3" t="s">
        <v>89</v>
      </c>
      <c r="D104" s="3" t="s">
        <v>89</v>
      </c>
      <c r="E104" s="3" t="s">
        <v>89</v>
      </c>
      <c r="F104" s="3" t="s">
        <v>89</v>
      </c>
      <c r="G104" s="3" t="s">
        <v>89</v>
      </c>
      <c r="H104" s="3" t="s">
        <v>89</v>
      </c>
      <c r="I104" s="3" t="s">
        <v>89</v>
      </c>
      <c r="J104" s="3" t="s">
        <v>89</v>
      </c>
      <c r="K104" s="3" t="s">
        <v>89</v>
      </c>
      <c r="L104" s="3" t="s">
        <v>89</v>
      </c>
      <c r="M104" s="3" t="s">
        <v>89</v>
      </c>
      <c r="N104" s="3" t="s">
        <v>89</v>
      </c>
      <c r="O104" s="3" t="s">
        <v>89</v>
      </c>
      <c r="P104" s="3" t="s">
        <v>89</v>
      </c>
      <c r="Q104" s="3" t="s">
        <v>89</v>
      </c>
      <c r="R104" s="3" t="s">
        <v>89</v>
      </c>
      <c r="S104" s="3">
        <v>95.769026077700786</v>
      </c>
      <c r="T104" s="3">
        <v>97.906834358019054</v>
      </c>
    </row>
    <row r="105" spans="1:20" x14ac:dyDescent="0.25">
      <c r="A105" s="51" t="s">
        <v>193</v>
      </c>
      <c r="B105" s="3" t="s">
        <v>89</v>
      </c>
      <c r="C105" s="3" t="s">
        <v>89</v>
      </c>
      <c r="D105" s="3" t="s">
        <v>89</v>
      </c>
      <c r="E105" s="3" t="s">
        <v>89</v>
      </c>
      <c r="F105" s="3" t="s">
        <v>89</v>
      </c>
      <c r="G105" s="3" t="s">
        <v>89</v>
      </c>
      <c r="H105" s="3" t="s">
        <v>89</v>
      </c>
      <c r="I105" s="3" t="s">
        <v>89</v>
      </c>
      <c r="J105" s="3" t="s">
        <v>89</v>
      </c>
      <c r="K105" s="3">
        <v>42.251511544494853</v>
      </c>
      <c r="L105" s="3">
        <v>41.162368855223484</v>
      </c>
      <c r="M105" s="3">
        <v>40.885027130077809</v>
      </c>
      <c r="N105" s="3">
        <v>2.7621214773324043</v>
      </c>
      <c r="O105" s="3">
        <v>6.1477506565558988</v>
      </c>
      <c r="P105" s="3">
        <v>9.8369808465183706</v>
      </c>
      <c r="Q105" s="3">
        <v>13.872288326892928</v>
      </c>
      <c r="R105" s="3">
        <v>20.63210174277172</v>
      </c>
      <c r="S105" s="3">
        <v>44.764535510221179</v>
      </c>
      <c r="T105" s="3" t="s">
        <v>89</v>
      </c>
    </row>
    <row r="106" spans="1:20" x14ac:dyDescent="0.25">
      <c r="A106" s="51" t="s">
        <v>249</v>
      </c>
      <c r="B106" s="3" t="s">
        <v>89</v>
      </c>
      <c r="C106" s="3" t="s">
        <v>89</v>
      </c>
      <c r="D106" s="3" t="s">
        <v>89</v>
      </c>
      <c r="E106" s="3" t="s">
        <v>89</v>
      </c>
      <c r="F106" s="3" t="s">
        <v>89</v>
      </c>
      <c r="G106" s="3" t="s">
        <v>89</v>
      </c>
      <c r="H106" s="3" t="s">
        <v>89</v>
      </c>
      <c r="I106" s="3" t="s">
        <v>89</v>
      </c>
      <c r="J106" s="3" t="s">
        <v>89</v>
      </c>
      <c r="K106" s="3" t="s">
        <v>89</v>
      </c>
      <c r="L106" s="3" t="s">
        <v>89</v>
      </c>
      <c r="M106" s="3" t="s">
        <v>89</v>
      </c>
      <c r="N106" s="3" t="s">
        <v>89</v>
      </c>
      <c r="O106" s="3" t="s">
        <v>89</v>
      </c>
      <c r="P106" s="3" t="s">
        <v>89</v>
      </c>
      <c r="Q106" s="3" t="s">
        <v>89</v>
      </c>
      <c r="R106" s="3" t="s">
        <v>89</v>
      </c>
      <c r="S106" s="3" t="s">
        <v>89</v>
      </c>
      <c r="T106" s="3" t="s">
        <v>89</v>
      </c>
    </row>
    <row r="107" spans="1:20" x14ac:dyDescent="0.25">
      <c r="A107" s="51" t="s">
        <v>194</v>
      </c>
      <c r="B107" s="3" t="s">
        <v>89</v>
      </c>
      <c r="C107" s="3" t="s">
        <v>89</v>
      </c>
      <c r="D107" s="3" t="s">
        <v>89</v>
      </c>
      <c r="E107" s="3" t="s">
        <v>89</v>
      </c>
      <c r="F107" s="3" t="s">
        <v>89</v>
      </c>
      <c r="G107" s="3" t="s">
        <v>89</v>
      </c>
      <c r="H107" s="3" t="s">
        <v>89</v>
      </c>
      <c r="I107" s="3" t="s">
        <v>89</v>
      </c>
      <c r="J107" s="3" t="s">
        <v>89</v>
      </c>
      <c r="K107" s="3" t="s">
        <v>89</v>
      </c>
      <c r="L107" s="3" t="s">
        <v>89</v>
      </c>
      <c r="M107" s="3" t="s">
        <v>89</v>
      </c>
      <c r="N107" s="3" t="s">
        <v>89</v>
      </c>
      <c r="O107" s="3" t="s">
        <v>89</v>
      </c>
      <c r="P107" s="3" t="s">
        <v>89</v>
      </c>
      <c r="Q107" s="3" t="s">
        <v>89</v>
      </c>
      <c r="R107" s="3">
        <v>1.0477299185098998</v>
      </c>
      <c r="S107" s="3">
        <v>0.93612334801762132</v>
      </c>
      <c r="T107" s="3" t="s">
        <v>89</v>
      </c>
    </row>
    <row r="108" spans="1:20" x14ac:dyDescent="0.25">
      <c r="A108" s="51" t="s">
        <v>195</v>
      </c>
      <c r="B108" s="3" t="s">
        <v>89</v>
      </c>
      <c r="C108" s="3" t="s">
        <v>89</v>
      </c>
      <c r="D108" s="3" t="s">
        <v>89</v>
      </c>
      <c r="E108" s="3" t="s">
        <v>89</v>
      </c>
      <c r="F108" s="3" t="s">
        <v>89</v>
      </c>
      <c r="G108" s="3" t="s">
        <v>89</v>
      </c>
      <c r="H108" s="3" t="s">
        <v>89</v>
      </c>
      <c r="I108" s="3" t="s">
        <v>89</v>
      </c>
      <c r="J108" s="3" t="s">
        <v>89</v>
      </c>
      <c r="K108" s="3" t="s">
        <v>89</v>
      </c>
      <c r="L108" s="3" t="s">
        <v>89</v>
      </c>
      <c r="M108" s="3" t="s">
        <v>89</v>
      </c>
      <c r="N108" s="3" t="s">
        <v>89</v>
      </c>
      <c r="O108" s="3" t="s">
        <v>89</v>
      </c>
      <c r="P108" s="3" t="s">
        <v>89</v>
      </c>
      <c r="Q108" s="3" t="s">
        <v>89</v>
      </c>
      <c r="R108" s="3" t="s">
        <v>89</v>
      </c>
      <c r="S108" s="3" t="s">
        <v>89</v>
      </c>
      <c r="T108" s="3" t="s">
        <v>89</v>
      </c>
    </row>
    <row r="109" spans="1:20" x14ac:dyDescent="0.25">
      <c r="A109" s="51" t="s">
        <v>196</v>
      </c>
      <c r="B109" s="3" t="s">
        <v>89</v>
      </c>
      <c r="C109" s="3" t="s">
        <v>89</v>
      </c>
      <c r="D109" s="3" t="s">
        <v>89</v>
      </c>
      <c r="E109" s="3" t="s">
        <v>89</v>
      </c>
      <c r="F109" s="3" t="s">
        <v>89</v>
      </c>
      <c r="G109" s="3" t="s">
        <v>89</v>
      </c>
      <c r="H109" s="3" t="s">
        <v>89</v>
      </c>
      <c r="I109" s="3">
        <v>8.7489063867016589E-2</v>
      </c>
      <c r="J109" s="3" t="s">
        <v>89</v>
      </c>
      <c r="K109" s="3" t="s">
        <v>89</v>
      </c>
      <c r="L109" s="3" t="s">
        <v>89</v>
      </c>
      <c r="M109" s="3" t="s">
        <v>89</v>
      </c>
      <c r="N109" s="3" t="s">
        <v>89</v>
      </c>
      <c r="O109" s="3" t="s">
        <v>89</v>
      </c>
      <c r="P109" s="3" t="s">
        <v>89</v>
      </c>
      <c r="Q109" s="3" t="s">
        <v>89</v>
      </c>
      <c r="R109" s="3" t="s">
        <v>89</v>
      </c>
      <c r="S109" s="3">
        <v>42.129368922926638</v>
      </c>
      <c r="T109" s="3">
        <v>49.275149233981139</v>
      </c>
    </row>
    <row r="110" spans="1:20" x14ac:dyDescent="0.25">
      <c r="A110" s="51" t="s">
        <v>197</v>
      </c>
      <c r="B110" s="3" t="s">
        <v>89</v>
      </c>
      <c r="C110" s="3" t="s">
        <v>89</v>
      </c>
      <c r="D110" s="3" t="s">
        <v>89</v>
      </c>
      <c r="E110" s="3" t="s">
        <v>89</v>
      </c>
      <c r="F110" s="3" t="s">
        <v>89</v>
      </c>
      <c r="G110" s="3" t="s">
        <v>89</v>
      </c>
      <c r="H110" s="3" t="s">
        <v>89</v>
      </c>
      <c r="I110" s="3" t="s">
        <v>89</v>
      </c>
      <c r="J110" s="3" t="s">
        <v>89</v>
      </c>
      <c r="K110" s="3">
        <v>29.999893907083891</v>
      </c>
      <c r="L110" s="3">
        <v>30.970711297071173</v>
      </c>
      <c r="M110" s="3">
        <v>29.355992844365037</v>
      </c>
      <c r="N110" s="3">
        <v>3.0849880857823608</v>
      </c>
      <c r="O110" s="3" t="s">
        <v>89</v>
      </c>
      <c r="P110" s="3" t="s">
        <v>89</v>
      </c>
      <c r="Q110" s="3" t="s">
        <v>89</v>
      </c>
      <c r="R110" s="3">
        <v>3.8950389503894978</v>
      </c>
      <c r="S110" s="3">
        <v>5.2555077127405969</v>
      </c>
      <c r="T110" s="3" t="s">
        <v>89</v>
      </c>
    </row>
    <row r="111" spans="1:20" x14ac:dyDescent="0.25">
      <c r="A111" s="51" t="s">
        <v>198</v>
      </c>
      <c r="B111" s="3" t="s">
        <v>89</v>
      </c>
      <c r="C111" s="3" t="s">
        <v>89</v>
      </c>
      <c r="D111" s="3" t="s">
        <v>89</v>
      </c>
      <c r="E111" s="3" t="s">
        <v>89</v>
      </c>
      <c r="F111" s="3" t="s">
        <v>89</v>
      </c>
      <c r="G111" s="3" t="s">
        <v>89</v>
      </c>
      <c r="H111" s="3" t="s">
        <v>89</v>
      </c>
      <c r="I111" s="3" t="s">
        <v>89</v>
      </c>
      <c r="J111" s="3" t="s">
        <v>89</v>
      </c>
      <c r="K111" s="3" t="s">
        <v>89</v>
      </c>
      <c r="L111" s="3" t="s">
        <v>89</v>
      </c>
      <c r="M111" s="3" t="s">
        <v>89</v>
      </c>
      <c r="N111" s="3">
        <v>92.839221536583665</v>
      </c>
      <c r="O111" s="3">
        <v>41.340225742198598</v>
      </c>
      <c r="P111" s="3">
        <v>55.400582516306187</v>
      </c>
      <c r="Q111" s="3">
        <v>84.574169973322711</v>
      </c>
      <c r="R111" s="3">
        <v>91.875208277131364</v>
      </c>
      <c r="S111" s="3">
        <v>97.508338726539549</v>
      </c>
      <c r="T111" s="3">
        <v>99.311176166695574</v>
      </c>
    </row>
    <row r="112" spans="1:20" x14ac:dyDescent="0.25">
      <c r="A112" s="51" t="s">
        <v>199</v>
      </c>
      <c r="B112" s="3" t="s">
        <v>89</v>
      </c>
      <c r="C112" s="3" t="s">
        <v>89</v>
      </c>
      <c r="D112" s="3" t="s">
        <v>89</v>
      </c>
      <c r="E112" s="3" t="s">
        <v>89</v>
      </c>
      <c r="F112" s="3" t="s">
        <v>89</v>
      </c>
      <c r="G112" s="3" t="s">
        <v>89</v>
      </c>
      <c r="H112" s="3" t="s">
        <v>89</v>
      </c>
      <c r="I112" s="3" t="s">
        <v>89</v>
      </c>
      <c r="J112" s="3" t="s">
        <v>89</v>
      </c>
      <c r="K112" s="3" t="s">
        <v>89</v>
      </c>
      <c r="L112" s="3" t="s">
        <v>89</v>
      </c>
      <c r="M112" s="3" t="s">
        <v>89</v>
      </c>
      <c r="N112" s="3" t="s">
        <v>89</v>
      </c>
      <c r="O112" s="3">
        <v>9.9932325738777354</v>
      </c>
      <c r="P112" s="3" t="s">
        <v>89</v>
      </c>
      <c r="Q112" s="3" t="s">
        <v>89</v>
      </c>
      <c r="R112" s="3" t="s">
        <v>89</v>
      </c>
      <c r="S112" s="3" t="s">
        <v>89</v>
      </c>
      <c r="T112" s="3" t="s">
        <v>89</v>
      </c>
    </row>
    <row r="113" spans="1:20" x14ac:dyDescent="0.25">
      <c r="A113" s="51" t="s">
        <v>200</v>
      </c>
      <c r="B113" s="3" t="s">
        <v>89</v>
      </c>
      <c r="C113" s="3" t="s">
        <v>89</v>
      </c>
      <c r="D113" s="3" t="s">
        <v>89</v>
      </c>
      <c r="E113" s="3" t="s">
        <v>89</v>
      </c>
      <c r="F113" s="3">
        <v>0.45773036160698416</v>
      </c>
      <c r="G113" s="3">
        <v>5.1838341173082711E-2</v>
      </c>
      <c r="H113" s="3">
        <v>5.372300419039449E-2</v>
      </c>
      <c r="I113" s="3">
        <v>5.8709563787940948E-2</v>
      </c>
      <c r="J113" s="3" t="s">
        <v>89</v>
      </c>
      <c r="K113" s="3" t="s">
        <v>89</v>
      </c>
      <c r="L113" s="3" t="s">
        <v>89</v>
      </c>
      <c r="M113" s="3" t="s">
        <v>89</v>
      </c>
      <c r="N113" s="3" t="s">
        <v>89</v>
      </c>
      <c r="O113" s="3" t="s">
        <v>89</v>
      </c>
      <c r="P113" s="3" t="s">
        <v>89</v>
      </c>
      <c r="Q113" s="3" t="s">
        <v>89</v>
      </c>
      <c r="R113" s="3" t="s">
        <v>89</v>
      </c>
      <c r="S113" s="3" t="s">
        <v>89</v>
      </c>
      <c r="T113" s="3" t="s">
        <v>89</v>
      </c>
    </row>
    <row r="114" spans="1:20" x14ac:dyDescent="0.25">
      <c r="A114" s="51" t="s">
        <v>201</v>
      </c>
      <c r="B114" s="3" t="s">
        <v>89</v>
      </c>
      <c r="C114" s="3" t="s">
        <v>89</v>
      </c>
      <c r="D114" s="3" t="s">
        <v>89</v>
      </c>
      <c r="E114" s="3" t="s">
        <v>89</v>
      </c>
      <c r="F114" s="3" t="s">
        <v>89</v>
      </c>
      <c r="G114" s="3" t="s">
        <v>89</v>
      </c>
      <c r="H114" s="3" t="s">
        <v>89</v>
      </c>
      <c r="I114" s="3" t="s">
        <v>89</v>
      </c>
      <c r="J114" s="3" t="s">
        <v>89</v>
      </c>
      <c r="K114" s="3" t="s">
        <v>89</v>
      </c>
      <c r="L114" s="3" t="s">
        <v>89</v>
      </c>
      <c r="M114" s="3" t="s">
        <v>89</v>
      </c>
      <c r="N114" s="3" t="s">
        <v>89</v>
      </c>
      <c r="O114" s="3" t="s">
        <v>89</v>
      </c>
      <c r="P114" s="3" t="s">
        <v>89</v>
      </c>
      <c r="Q114" s="3" t="s">
        <v>89</v>
      </c>
      <c r="R114" s="3" t="s">
        <v>89</v>
      </c>
      <c r="S114" s="3" t="s">
        <v>89</v>
      </c>
      <c r="T114" s="3" t="s">
        <v>89</v>
      </c>
    </row>
    <row r="115" spans="1:20" x14ac:dyDescent="0.25">
      <c r="A115" s="51" t="s">
        <v>202</v>
      </c>
      <c r="B115" s="3" t="s">
        <v>89</v>
      </c>
      <c r="C115" s="3" t="s">
        <v>89</v>
      </c>
      <c r="D115" s="3" t="s">
        <v>89</v>
      </c>
      <c r="E115" s="3" t="s">
        <v>89</v>
      </c>
      <c r="F115" s="3" t="s">
        <v>89</v>
      </c>
      <c r="G115" s="3" t="s">
        <v>89</v>
      </c>
      <c r="H115" s="3" t="s">
        <v>89</v>
      </c>
      <c r="I115" s="3" t="s">
        <v>89</v>
      </c>
      <c r="J115" s="3" t="s">
        <v>89</v>
      </c>
      <c r="K115" s="3" t="s">
        <v>89</v>
      </c>
      <c r="L115" s="3" t="s">
        <v>89</v>
      </c>
      <c r="M115" s="3" t="s">
        <v>89</v>
      </c>
      <c r="N115" s="3" t="s">
        <v>89</v>
      </c>
      <c r="O115" s="3">
        <v>0.66445182724252483</v>
      </c>
      <c r="P115" s="3">
        <v>0.48899755501222381</v>
      </c>
      <c r="Q115" s="3">
        <v>0.50356693243810358</v>
      </c>
      <c r="R115" s="3">
        <v>0.48440811383590809</v>
      </c>
      <c r="S115" s="3">
        <v>0.52004333694474358</v>
      </c>
      <c r="T115" s="3">
        <v>0.32909498878085192</v>
      </c>
    </row>
    <row r="116" spans="1:20" x14ac:dyDescent="0.25">
      <c r="A116" s="51" t="s">
        <v>203</v>
      </c>
      <c r="B116" s="3" t="s">
        <v>89</v>
      </c>
      <c r="C116" s="3" t="s">
        <v>89</v>
      </c>
      <c r="D116" s="3" t="s">
        <v>89</v>
      </c>
      <c r="E116" s="3" t="s">
        <v>89</v>
      </c>
      <c r="F116" s="3" t="s">
        <v>89</v>
      </c>
      <c r="G116" s="3" t="s">
        <v>89</v>
      </c>
      <c r="H116" s="3" t="s">
        <v>89</v>
      </c>
      <c r="I116" s="3" t="s">
        <v>89</v>
      </c>
      <c r="J116" s="3" t="s">
        <v>89</v>
      </c>
      <c r="K116" s="3" t="s">
        <v>89</v>
      </c>
      <c r="L116" s="3" t="s">
        <v>89</v>
      </c>
      <c r="M116" s="3" t="s">
        <v>89</v>
      </c>
      <c r="N116" s="3" t="s">
        <v>89</v>
      </c>
      <c r="O116" s="3" t="s">
        <v>89</v>
      </c>
      <c r="P116" s="3">
        <v>41.130698741609564</v>
      </c>
      <c r="Q116" s="3">
        <v>39.914059962236273</v>
      </c>
      <c r="R116" s="3">
        <v>47.960699420529423</v>
      </c>
      <c r="S116" s="3">
        <v>38.965894776791224</v>
      </c>
      <c r="T116" s="3">
        <v>51.672904916366001</v>
      </c>
    </row>
    <row r="117" spans="1:20" x14ac:dyDescent="0.25">
      <c r="A117" s="51" t="s">
        <v>204</v>
      </c>
      <c r="B117" s="3" t="s">
        <v>89</v>
      </c>
      <c r="C117" s="3" t="s">
        <v>89</v>
      </c>
      <c r="D117" s="3" t="s">
        <v>89</v>
      </c>
      <c r="E117" s="3" t="s">
        <v>89</v>
      </c>
      <c r="F117" s="3" t="s">
        <v>89</v>
      </c>
      <c r="G117" s="3" t="s">
        <v>89</v>
      </c>
      <c r="H117" s="3" t="s">
        <v>89</v>
      </c>
      <c r="I117" s="3">
        <v>0.42787286063569691</v>
      </c>
      <c r="J117" s="3" t="s">
        <v>89</v>
      </c>
      <c r="K117" s="3">
        <v>20.173102529960008</v>
      </c>
      <c r="L117" s="3" t="s">
        <v>89</v>
      </c>
      <c r="M117" s="3" t="s">
        <v>89</v>
      </c>
      <c r="N117" s="3" t="s">
        <v>89</v>
      </c>
      <c r="O117" s="3" t="s">
        <v>89</v>
      </c>
      <c r="P117" s="3" t="s">
        <v>89</v>
      </c>
      <c r="Q117" s="3" t="s">
        <v>89</v>
      </c>
      <c r="R117" s="3">
        <v>100</v>
      </c>
      <c r="S117" s="3">
        <v>100</v>
      </c>
      <c r="T117" s="3">
        <v>100</v>
      </c>
    </row>
    <row r="118" spans="1:20" x14ac:dyDescent="0.25">
      <c r="A118" s="51" t="s">
        <v>205</v>
      </c>
      <c r="B118" s="3" t="s">
        <v>89</v>
      </c>
      <c r="C118" s="3" t="s">
        <v>89</v>
      </c>
      <c r="D118" s="3" t="s">
        <v>89</v>
      </c>
      <c r="E118" s="3" t="s">
        <v>89</v>
      </c>
      <c r="F118" s="3" t="s">
        <v>89</v>
      </c>
      <c r="G118" s="3" t="s">
        <v>89</v>
      </c>
      <c r="H118" s="3" t="s">
        <v>89</v>
      </c>
      <c r="I118" s="3" t="s">
        <v>89</v>
      </c>
      <c r="J118" s="3" t="s">
        <v>89</v>
      </c>
      <c r="K118" s="3" t="s">
        <v>89</v>
      </c>
      <c r="L118" s="3" t="s">
        <v>89</v>
      </c>
      <c r="M118" s="3" t="s">
        <v>89</v>
      </c>
      <c r="N118" s="3" t="s">
        <v>89</v>
      </c>
      <c r="O118" s="3" t="s">
        <v>89</v>
      </c>
      <c r="P118" s="3" t="s">
        <v>89</v>
      </c>
      <c r="Q118" s="3" t="s">
        <v>89</v>
      </c>
      <c r="R118" s="3" t="s">
        <v>89</v>
      </c>
      <c r="S118" s="3" t="s">
        <v>89</v>
      </c>
      <c r="T118" s="3" t="s">
        <v>89</v>
      </c>
    </row>
    <row r="119" spans="1:20" x14ac:dyDescent="0.25">
      <c r="A119" s="51" t="s">
        <v>206</v>
      </c>
      <c r="B119" s="3" t="s">
        <v>89</v>
      </c>
      <c r="C119" s="3" t="s">
        <v>89</v>
      </c>
      <c r="D119" s="3" t="s">
        <v>89</v>
      </c>
      <c r="E119" s="3" t="s">
        <v>89</v>
      </c>
      <c r="F119" s="3" t="s">
        <v>89</v>
      </c>
      <c r="G119" s="3" t="s">
        <v>89</v>
      </c>
      <c r="H119" s="3" t="s">
        <v>89</v>
      </c>
      <c r="I119" s="3" t="s">
        <v>89</v>
      </c>
      <c r="J119" s="3" t="s">
        <v>89</v>
      </c>
      <c r="K119" s="3" t="s">
        <v>89</v>
      </c>
      <c r="L119" s="3">
        <v>0.93272558453616983</v>
      </c>
      <c r="M119" s="3">
        <v>1.0081485692628371</v>
      </c>
      <c r="N119" s="3">
        <v>15.393823318170947</v>
      </c>
      <c r="O119" s="3">
        <v>27.867406563522145</v>
      </c>
      <c r="P119" s="3" t="s">
        <v>89</v>
      </c>
      <c r="Q119" s="3" t="s">
        <v>89</v>
      </c>
      <c r="R119" s="3">
        <v>66.117091779006216</v>
      </c>
      <c r="S119" s="3">
        <v>73.50612831249812</v>
      </c>
      <c r="T119" s="3">
        <v>79.765675292905598</v>
      </c>
    </row>
    <row r="120" spans="1:20" x14ac:dyDescent="0.25">
      <c r="A120" s="51" t="s">
        <v>207</v>
      </c>
      <c r="B120" s="3" t="s">
        <v>89</v>
      </c>
      <c r="C120" s="3" t="s">
        <v>89</v>
      </c>
      <c r="D120" s="3" t="s">
        <v>89</v>
      </c>
      <c r="E120" s="3" t="s">
        <v>89</v>
      </c>
      <c r="F120" s="3" t="s">
        <v>89</v>
      </c>
      <c r="G120" s="3" t="s">
        <v>89</v>
      </c>
      <c r="H120" s="3">
        <v>0.46242774566474565</v>
      </c>
      <c r="I120" s="3" t="s">
        <v>89</v>
      </c>
      <c r="J120" s="3">
        <v>0.75196536401959724</v>
      </c>
      <c r="K120" s="3">
        <v>0.24529844644317245</v>
      </c>
      <c r="L120" s="3">
        <v>0.51238257899231299</v>
      </c>
      <c r="M120" s="3">
        <v>0.58674643350206968</v>
      </c>
      <c r="N120" s="3">
        <v>0.85983727810650856</v>
      </c>
      <c r="O120" s="3">
        <v>0.77478429300933338</v>
      </c>
      <c r="P120" s="3">
        <v>0.7747842930093326</v>
      </c>
      <c r="Q120" s="3">
        <v>3.5577315381476993</v>
      </c>
      <c r="R120" s="3">
        <v>9.5701963117192133</v>
      </c>
      <c r="S120" s="3">
        <v>10.199422547505552</v>
      </c>
      <c r="T120" s="3">
        <v>12.888624181060097</v>
      </c>
    </row>
    <row r="121" spans="1:20" x14ac:dyDescent="0.25">
      <c r="A121" s="51" t="s">
        <v>208</v>
      </c>
      <c r="B121" s="3" t="s">
        <v>89</v>
      </c>
      <c r="C121" s="3" t="s">
        <v>89</v>
      </c>
      <c r="D121" s="3" t="s">
        <v>89</v>
      </c>
      <c r="E121" s="3" t="s">
        <v>89</v>
      </c>
      <c r="F121" s="3" t="s">
        <v>89</v>
      </c>
      <c r="G121" s="3" t="s">
        <v>89</v>
      </c>
      <c r="H121" s="3" t="s">
        <v>89</v>
      </c>
      <c r="I121" s="3" t="s">
        <v>89</v>
      </c>
      <c r="J121" s="3" t="s">
        <v>89</v>
      </c>
      <c r="K121" s="3" t="s">
        <v>89</v>
      </c>
      <c r="L121" s="3" t="s">
        <v>89</v>
      </c>
      <c r="M121" s="3" t="s">
        <v>89</v>
      </c>
      <c r="N121" s="3" t="s">
        <v>89</v>
      </c>
      <c r="O121" s="3">
        <v>6.2455554269270763</v>
      </c>
      <c r="P121" s="3">
        <v>7.133635508903895</v>
      </c>
      <c r="Q121" s="3">
        <v>20.306719276802102</v>
      </c>
      <c r="R121" s="3">
        <v>18.359810959394913</v>
      </c>
      <c r="S121" s="3">
        <v>25.342461919130276</v>
      </c>
      <c r="T121" s="3" t="s">
        <v>89</v>
      </c>
    </row>
    <row r="122" spans="1:20" x14ac:dyDescent="0.25">
      <c r="A122" s="51" t="s">
        <v>209</v>
      </c>
      <c r="B122" s="3" t="s">
        <v>89</v>
      </c>
      <c r="C122" s="3" t="s">
        <v>89</v>
      </c>
      <c r="D122" s="3" t="s">
        <v>89</v>
      </c>
      <c r="E122" s="3" t="s">
        <v>89</v>
      </c>
      <c r="F122" s="3" t="s">
        <v>89</v>
      </c>
      <c r="G122" s="3" t="s">
        <v>89</v>
      </c>
      <c r="H122" s="3" t="s">
        <v>89</v>
      </c>
      <c r="I122" s="3" t="s">
        <v>89</v>
      </c>
      <c r="J122" s="3" t="s">
        <v>89</v>
      </c>
      <c r="K122" s="3">
        <v>10.054945054945051</v>
      </c>
      <c r="L122" s="3">
        <v>28.723404255319224</v>
      </c>
      <c r="M122" s="3">
        <v>67.262464722483386</v>
      </c>
      <c r="N122" s="3">
        <v>79.349593495934528</v>
      </c>
      <c r="O122" s="3">
        <v>80.851838369129908</v>
      </c>
      <c r="P122" s="3">
        <v>81.347656249999829</v>
      </c>
      <c r="Q122" s="3">
        <v>82.209158415841685</v>
      </c>
      <c r="R122" s="3">
        <v>82.48707813925229</v>
      </c>
      <c r="S122" s="3">
        <v>82.590487586000805</v>
      </c>
      <c r="T122" s="3">
        <v>81.908374671724573</v>
      </c>
    </row>
    <row r="123" spans="1:20" x14ac:dyDescent="0.25">
      <c r="A123" s="51" t="s">
        <v>210</v>
      </c>
      <c r="B123" s="3" t="s">
        <v>89</v>
      </c>
      <c r="C123" s="3" t="s">
        <v>89</v>
      </c>
      <c r="D123" s="3" t="s">
        <v>89</v>
      </c>
      <c r="E123" s="3" t="s">
        <v>89</v>
      </c>
      <c r="F123" s="3" t="s">
        <v>89</v>
      </c>
      <c r="G123" s="3" t="s">
        <v>89</v>
      </c>
      <c r="H123" s="3" t="s">
        <v>89</v>
      </c>
      <c r="I123" s="3" t="s">
        <v>89</v>
      </c>
      <c r="J123" s="3" t="s">
        <v>89</v>
      </c>
      <c r="K123" s="3" t="s">
        <v>89</v>
      </c>
      <c r="L123" s="3">
        <v>2.4500822175240802</v>
      </c>
      <c r="M123" s="3">
        <v>1.1266336187471784</v>
      </c>
      <c r="N123" s="3">
        <v>0.77545789328531545</v>
      </c>
      <c r="O123" s="3">
        <v>7.1882752131390726</v>
      </c>
      <c r="P123" s="3">
        <v>34.713826366559395</v>
      </c>
      <c r="Q123" s="3">
        <v>35.714285714285715</v>
      </c>
      <c r="R123" s="3">
        <v>31.211542865867642</v>
      </c>
      <c r="S123" s="3">
        <v>35.473532644877523</v>
      </c>
      <c r="T123" s="3" t="s">
        <v>89</v>
      </c>
    </row>
    <row r="124" spans="1:20" x14ac:dyDescent="0.25">
      <c r="A124" s="51" t="s">
        <v>211</v>
      </c>
      <c r="B124" s="3" t="s">
        <v>89</v>
      </c>
      <c r="C124" s="3" t="s">
        <v>89</v>
      </c>
      <c r="D124" s="3" t="s">
        <v>89</v>
      </c>
      <c r="E124" s="3" t="s">
        <v>89</v>
      </c>
      <c r="F124" s="3" t="s">
        <v>89</v>
      </c>
      <c r="G124" s="3" t="s">
        <v>89</v>
      </c>
      <c r="H124" s="3" t="s">
        <v>89</v>
      </c>
      <c r="I124" s="3">
        <v>0.15798445100403272</v>
      </c>
      <c r="J124" s="3">
        <v>0.15948517067711185</v>
      </c>
      <c r="K124" s="3">
        <v>0.20382412889449697</v>
      </c>
      <c r="L124" s="3">
        <v>0.48431996364049673</v>
      </c>
      <c r="M124" s="3">
        <v>0.77863947904200825</v>
      </c>
      <c r="N124" s="3">
        <v>1.6494625944450323</v>
      </c>
      <c r="O124" s="3">
        <v>15.838795901482877</v>
      </c>
      <c r="P124" s="3">
        <v>15.043503480278437</v>
      </c>
      <c r="Q124" s="3">
        <v>3.1658584884104704</v>
      </c>
      <c r="R124" s="3">
        <v>6.7283902242423492</v>
      </c>
      <c r="S124" s="3">
        <v>33.280420499342924</v>
      </c>
      <c r="T124" s="3">
        <v>41.24330076795485</v>
      </c>
    </row>
    <row r="125" spans="1:20" x14ac:dyDescent="0.25">
      <c r="A125" s="51" t="s">
        <v>212</v>
      </c>
      <c r="B125" s="3" t="s">
        <v>89</v>
      </c>
      <c r="C125" s="3" t="s">
        <v>89</v>
      </c>
      <c r="D125" s="3" t="s">
        <v>89</v>
      </c>
      <c r="E125" s="3" t="s">
        <v>89</v>
      </c>
      <c r="F125" s="3" t="s">
        <v>89</v>
      </c>
      <c r="G125" s="3" t="s">
        <v>89</v>
      </c>
      <c r="H125" s="3" t="s">
        <v>89</v>
      </c>
      <c r="I125" s="3" t="s">
        <v>89</v>
      </c>
      <c r="J125" s="3" t="s">
        <v>89</v>
      </c>
      <c r="K125" s="3" t="s">
        <v>89</v>
      </c>
      <c r="L125" s="3" t="s">
        <v>89</v>
      </c>
      <c r="M125" s="3">
        <v>2.5950434669779712E-2</v>
      </c>
      <c r="N125" s="3">
        <v>0.45086705202312072</v>
      </c>
      <c r="O125" s="3" t="s">
        <v>89</v>
      </c>
      <c r="P125" s="3" t="s">
        <v>89</v>
      </c>
      <c r="Q125" s="3" t="s">
        <v>89</v>
      </c>
      <c r="R125" s="3" t="s">
        <v>89</v>
      </c>
      <c r="S125" s="3" t="s">
        <v>89</v>
      </c>
      <c r="T125" s="3" t="s">
        <v>89</v>
      </c>
    </row>
    <row r="126" spans="1:20" x14ac:dyDescent="0.25">
      <c r="A126" s="51" t="s">
        <v>213</v>
      </c>
      <c r="B126" s="3" t="s">
        <v>89</v>
      </c>
      <c r="C126" s="3" t="s">
        <v>89</v>
      </c>
      <c r="D126" s="3" t="s">
        <v>89</v>
      </c>
      <c r="E126" s="3" t="s">
        <v>89</v>
      </c>
      <c r="F126" s="3" t="s">
        <v>89</v>
      </c>
      <c r="G126" s="3" t="s">
        <v>89</v>
      </c>
      <c r="H126" s="3" t="s">
        <v>89</v>
      </c>
      <c r="I126" s="3" t="s">
        <v>89</v>
      </c>
      <c r="J126" s="3" t="s">
        <v>89</v>
      </c>
      <c r="K126" s="3" t="s">
        <v>89</v>
      </c>
      <c r="L126" s="3" t="s">
        <v>89</v>
      </c>
      <c r="M126" s="3">
        <v>24.593490285460192</v>
      </c>
      <c r="N126" s="3">
        <v>24.632333038598325</v>
      </c>
      <c r="O126" s="3">
        <v>8.1646724802271411</v>
      </c>
      <c r="P126" s="3">
        <v>12.4292226487524</v>
      </c>
      <c r="Q126" s="3">
        <v>17.057859844135152</v>
      </c>
      <c r="R126" s="3">
        <v>28.778615531653411</v>
      </c>
      <c r="S126" s="3">
        <v>0.52889283722083358</v>
      </c>
      <c r="T126" s="3">
        <v>33.398649747148511</v>
      </c>
    </row>
    <row r="127" spans="1:20" x14ac:dyDescent="0.25">
      <c r="A127" s="51" t="s">
        <v>214</v>
      </c>
      <c r="B127" s="3" t="s">
        <v>89</v>
      </c>
      <c r="C127" s="3" t="s">
        <v>89</v>
      </c>
      <c r="D127" s="3" t="s">
        <v>89</v>
      </c>
      <c r="E127" s="3" t="s">
        <v>89</v>
      </c>
      <c r="F127" s="3" t="s">
        <v>89</v>
      </c>
      <c r="G127" s="3" t="s">
        <v>89</v>
      </c>
      <c r="H127" s="3" t="s">
        <v>89</v>
      </c>
      <c r="I127" s="3" t="s">
        <v>89</v>
      </c>
      <c r="J127" s="3" t="s">
        <v>89</v>
      </c>
      <c r="K127" s="3" t="s">
        <v>89</v>
      </c>
      <c r="L127" s="3" t="s">
        <v>89</v>
      </c>
      <c r="M127" s="3" t="s">
        <v>89</v>
      </c>
      <c r="N127" s="3">
        <v>47.024793388429714</v>
      </c>
      <c r="O127" s="3">
        <v>45.367284362084987</v>
      </c>
      <c r="P127" s="3">
        <v>47.214406302757475</v>
      </c>
      <c r="Q127" s="3">
        <v>71.105456601639972</v>
      </c>
      <c r="R127" s="3">
        <v>81.23942072597319</v>
      </c>
      <c r="S127" s="3">
        <v>86.653269697730835</v>
      </c>
      <c r="T127" s="3">
        <v>89.342983514274295</v>
      </c>
    </row>
    <row r="128" spans="1:20" x14ac:dyDescent="0.25">
      <c r="A128" s="51" t="s">
        <v>215</v>
      </c>
      <c r="B128" s="3" t="s">
        <v>89</v>
      </c>
      <c r="C128" s="3" t="s">
        <v>89</v>
      </c>
      <c r="D128" s="3" t="s">
        <v>89</v>
      </c>
      <c r="E128" s="3" t="s">
        <v>89</v>
      </c>
      <c r="F128" s="3" t="s">
        <v>89</v>
      </c>
      <c r="G128" s="3" t="s">
        <v>89</v>
      </c>
      <c r="H128" s="3" t="s">
        <v>89</v>
      </c>
      <c r="I128" s="3" t="s">
        <v>89</v>
      </c>
      <c r="J128" s="3" t="s">
        <v>89</v>
      </c>
      <c r="K128" s="3" t="s">
        <v>89</v>
      </c>
      <c r="L128" s="3" t="s">
        <v>89</v>
      </c>
      <c r="M128" s="3" t="s">
        <v>89</v>
      </c>
      <c r="N128" s="3">
        <v>29.141311697092576</v>
      </c>
      <c r="O128" s="3">
        <v>27.938342967244729</v>
      </c>
      <c r="P128" s="3">
        <v>32.27771010962244</v>
      </c>
      <c r="Q128" s="3">
        <v>23.36783439490452</v>
      </c>
      <c r="R128" s="3">
        <v>20.595968448729185</v>
      </c>
      <c r="S128" s="3">
        <v>22.697512003491944</v>
      </c>
      <c r="T128" s="3">
        <v>23.497835497835474</v>
      </c>
    </row>
    <row r="129" spans="1:20" x14ac:dyDescent="0.25">
      <c r="A129" s="51" t="s">
        <v>216</v>
      </c>
      <c r="B129" s="3" t="s">
        <v>89</v>
      </c>
      <c r="C129" s="3" t="s">
        <v>89</v>
      </c>
      <c r="D129" s="3" t="s">
        <v>89</v>
      </c>
      <c r="E129" s="3" t="s">
        <v>89</v>
      </c>
      <c r="F129" s="3" t="s">
        <v>89</v>
      </c>
      <c r="G129" s="3" t="s">
        <v>89</v>
      </c>
      <c r="H129" s="3">
        <v>0.63960825342724259</v>
      </c>
      <c r="I129" s="3">
        <v>0.91145969590104869</v>
      </c>
      <c r="J129" s="3">
        <v>0.84884712319526279</v>
      </c>
      <c r="K129" s="3">
        <v>1.3573653760569655</v>
      </c>
      <c r="L129" s="3">
        <v>2.4828299092544528</v>
      </c>
      <c r="M129" s="3">
        <v>3.934806259087166</v>
      </c>
      <c r="N129" s="3">
        <v>10.115837023122683</v>
      </c>
      <c r="O129" s="3">
        <v>15.864273609613283</v>
      </c>
      <c r="P129" s="3" t="s">
        <v>89</v>
      </c>
      <c r="Q129" s="3" t="s">
        <v>89</v>
      </c>
      <c r="R129" s="3" t="s">
        <v>89</v>
      </c>
      <c r="S129" s="3" t="s">
        <v>89</v>
      </c>
      <c r="T129" s="3" t="s">
        <v>89</v>
      </c>
    </row>
    <row r="130" spans="1:20" x14ac:dyDescent="0.25">
      <c r="A130" s="51" t="s">
        <v>217</v>
      </c>
      <c r="B130" s="3" t="s">
        <v>89</v>
      </c>
      <c r="C130" s="3" t="s">
        <v>89</v>
      </c>
      <c r="D130" s="3" t="s">
        <v>89</v>
      </c>
      <c r="E130" s="3" t="s">
        <v>89</v>
      </c>
      <c r="F130" s="3" t="s">
        <v>89</v>
      </c>
      <c r="G130" s="3" t="s">
        <v>89</v>
      </c>
      <c r="H130" s="3" t="s">
        <v>89</v>
      </c>
      <c r="I130" s="3" t="s">
        <v>89</v>
      </c>
      <c r="J130" s="3" t="s">
        <v>89</v>
      </c>
      <c r="K130" s="3" t="s">
        <v>89</v>
      </c>
      <c r="L130" s="3" t="s">
        <v>89</v>
      </c>
      <c r="M130" s="3" t="s">
        <v>89</v>
      </c>
      <c r="N130" s="3" t="s">
        <v>89</v>
      </c>
      <c r="O130" s="3" t="s">
        <v>89</v>
      </c>
      <c r="P130" s="3" t="s">
        <v>89</v>
      </c>
      <c r="Q130" s="3" t="s">
        <v>89</v>
      </c>
      <c r="R130" s="3" t="s">
        <v>89</v>
      </c>
      <c r="S130" s="3">
        <v>54.84310321805328</v>
      </c>
      <c r="T130" s="3">
        <v>50.666700530820464</v>
      </c>
    </row>
    <row r="131" spans="1:20" x14ac:dyDescent="0.25">
      <c r="A131" s="51" t="s">
        <v>218</v>
      </c>
      <c r="B131" s="3" t="s">
        <v>89</v>
      </c>
      <c r="C131" s="3" t="s">
        <v>89</v>
      </c>
      <c r="D131" s="3" t="s">
        <v>89</v>
      </c>
      <c r="E131" s="3" t="s">
        <v>89</v>
      </c>
      <c r="F131" s="3" t="s">
        <v>89</v>
      </c>
      <c r="G131" s="3" t="s">
        <v>89</v>
      </c>
      <c r="H131" s="3" t="s">
        <v>89</v>
      </c>
      <c r="I131" s="3" t="s">
        <v>89</v>
      </c>
      <c r="J131" s="3" t="s">
        <v>89</v>
      </c>
      <c r="K131" s="3" t="s">
        <v>89</v>
      </c>
      <c r="L131" s="3" t="s">
        <v>89</v>
      </c>
      <c r="M131" s="3" t="s">
        <v>89</v>
      </c>
      <c r="N131" s="3" t="s">
        <v>89</v>
      </c>
      <c r="O131" s="3" t="s">
        <v>89</v>
      </c>
      <c r="P131" s="3">
        <v>11.627906976744233</v>
      </c>
      <c r="Q131" s="3">
        <v>13.333333333333378</v>
      </c>
      <c r="R131" s="3">
        <v>13.586956521739124</v>
      </c>
      <c r="S131" s="3" t="s">
        <v>89</v>
      </c>
      <c r="T131" s="3" t="s">
        <v>89</v>
      </c>
    </row>
    <row r="132" spans="1:20" x14ac:dyDescent="0.25">
      <c r="A132" s="51" t="s">
        <v>219</v>
      </c>
      <c r="B132" s="3" t="s">
        <v>89</v>
      </c>
      <c r="C132" s="3" t="s">
        <v>89</v>
      </c>
      <c r="D132" s="3" t="s">
        <v>89</v>
      </c>
      <c r="E132" s="3" t="s">
        <v>89</v>
      </c>
      <c r="F132" s="3" t="s">
        <v>89</v>
      </c>
      <c r="G132" s="3" t="s">
        <v>89</v>
      </c>
      <c r="H132" s="3" t="s">
        <v>89</v>
      </c>
      <c r="I132" s="3" t="s">
        <v>89</v>
      </c>
      <c r="J132" s="3" t="s">
        <v>89</v>
      </c>
      <c r="K132" s="3">
        <v>9.8290876292919265</v>
      </c>
      <c r="L132" s="3">
        <v>16.882641393496392</v>
      </c>
      <c r="M132" s="3">
        <v>22.446883391120686</v>
      </c>
      <c r="N132" s="3">
        <v>30.658954103005005</v>
      </c>
      <c r="O132" s="3">
        <v>36.772016227451694</v>
      </c>
      <c r="P132" s="3">
        <v>47.312285461100778</v>
      </c>
      <c r="Q132" s="3">
        <v>65.3251546171808</v>
      </c>
      <c r="R132" s="3">
        <v>86.603353616798415</v>
      </c>
      <c r="S132" s="3">
        <v>92.410097830561739</v>
      </c>
      <c r="T132" s="3">
        <v>95.683853586027539</v>
      </c>
    </row>
    <row r="133" spans="1:20" x14ac:dyDescent="0.25">
      <c r="A133" s="51" t="s">
        <v>220</v>
      </c>
      <c r="B133" s="3" t="s">
        <v>89</v>
      </c>
      <c r="C133" s="3" t="s">
        <v>89</v>
      </c>
      <c r="D133" s="3" t="s">
        <v>89</v>
      </c>
      <c r="E133" s="3" t="s">
        <v>89</v>
      </c>
      <c r="F133" s="3" t="s">
        <v>89</v>
      </c>
      <c r="G133" s="3" t="s">
        <v>89</v>
      </c>
      <c r="H133" s="3" t="s">
        <v>89</v>
      </c>
      <c r="I133" s="3" t="s">
        <v>89</v>
      </c>
      <c r="J133" s="3" t="s">
        <v>89</v>
      </c>
      <c r="K133" s="3" t="s">
        <v>89</v>
      </c>
      <c r="L133" s="3" t="s">
        <v>89</v>
      </c>
      <c r="M133" s="3">
        <v>40.000000000000142</v>
      </c>
      <c r="N133" s="3">
        <v>30.000000000000053</v>
      </c>
      <c r="O133" s="3">
        <v>24.999999999999979</v>
      </c>
      <c r="P133" s="3">
        <v>32.50000000000005</v>
      </c>
      <c r="Q133" s="3" t="s">
        <v>89</v>
      </c>
      <c r="R133" s="3">
        <v>35.000000000000028</v>
      </c>
      <c r="S133" s="3">
        <v>20</v>
      </c>
      <c r="T133" s="3">
        <v>19.999999999999943</v>
      </c>
    </row>
    <row r="134" spans="1:20" x14ac:dyDescent="0.25">
      <c r="A134" s="51" t="s">
        <v>221</v>
      </c>
      <c r="B134" s="3" t="s">
        <v>89</v>
      </c>
      <c r="C134" s="3" t="s">
        <v>89</v>
      </c>
      <c r="D134" s="3" t="s">
        <v>89</v>
      </c>
      <c r="E134" s="3" t="s">
        <v>89</v>
      </c>
      <c r="F134" s="3" t="s">
        <v>89</v>
      </c>
      <c r="G134" s="3" t="s">
        <v>89</v>
      </c>
      <c r="H134" s="3" t="s">
        <v>89</v>
      </c>
      <c r="I134" s="3" t="s">
        <v>89</v>
      </c>
      <c r="J134" s="3" t="s">
        <v>89</v>
      </c>
      <c r="K134" s="3" t="s">
        <v>89</v>
      </c>
      <c r="L134" s="3" t="s">
        <v>89</v>
      </c>
      <c r="M134" s="3" t="s">
        <v>89</v>
      </c>
      <c r="N134" s="3" t="s">
        <v>89</v>
      </c>
      <c r="O134" s="3" t="s">
        <v>89</v>
      </c>
      <c r="P134" s="3" t="s">
        <v>89</v>
      </c>
      <c r="Q134" s="3" t="s">
        <v>89</v>
      </c>
      <c r="R134" s="3">
        <v>8.0000193073954424</v>
      </c>
      <c r="S134" s="3">
        <v>10.000006996828301</v>
      </c>
      <c r="T134" s="3">
        <v>9.9924572084704959</v>
      </c>
    </row>
    <row r="135" spans="1:20" x14ac:dyDescent="0.25">
      <c r="A135" s="51" t="s">
        <v>222</v>
      </c>
      <c r="B135" s="3" t="s">
        <v>89</v>
      </c>
      <c r="C135" s="3" t="s">
        <v>89</v>
      </c>
      <c r="D135" s="3" t="s">
        <v>89</v>
      </c>
      <c r="E135" s="3" t="s">
        <v>89</v>
      </c>
      <c r="F135" s="3" t="s">
        <v>89</v>
      </c>
      <c r="G135" s="3" t="s">
        <v>89</v>
      </c>
      <c r="H135" s="3" t="s">
        <v>89</v>
      </c>
      <c r="I135" s="3" t="s">
        <v>89</v>
      </c>
      <c r="J135" s="3" t="s">
        <v>89</v>
      </c>
      <c r="K135" s="3" t="s">
        <v>89</v>
      </c>
      <c r="L135" s="3">
        <v>2.2702506356701787E-2</v>
      </c>
      <c r="M135" s="3">
        <v>5.1268379714127552E-2</v>
      </c>
      <c r="N135" s="3">
        <v>69.780415430267013</v>
      </c>
      <c r="O135" s="3">
        <v>76.238721517051431</v>
      </c>
      <c r="P135" s="3">
        <v>88.648546976394343</v>
      </c>
      <c r="Q135" s="3">
        <v>90.57033354836264</v>
      </c>
      <c r="R135" s="3">
        <v>95.344817219817159</v>
      </c>
      <c r="S135" s="3">
        <v>99.297851127468419</v>
      </c>
      <c r="T135" s="3">
        <v>99.419805376645058</v>
      </c>
    </row>
    <row r="136" spans="1:20" x14ac:dyDescent="0.25">
      <c r="A136" s="51" t="s">
        <v>223</v>
      </c>
      <c r="B136" s="3" t="s">
        <v>89</v>
      </c>
      <c r="C136" s="3" t="s">
        <v>89</v>
      </c>
      <c r="D136" s="3" t="s">
        <v>89</v>
      </c>
      <c r="E136" s="3" t="s">
        <v>89</v>
      </c>
      <c r="F136" s="3">
        <v>2.0000000000000053</v>
      </c>
      <c r="G136" s="3">
        <v>1.9999999999999976</v>
      </c>
      <c r="H136" s="3">
        <v>1.9992115785324103</v>
      </c>
      <c r="I136" s="3">
        <v>2</v>
      </c>
      <c r="J136" s="3" t="s">
        <v>89</v>
      </c>
      <c r="K136" s="3">
        <v>1.6957136128120549</v>
      </c>
      <c r="L136" s="3" t="s">
        <v>89</v>
      </c>
      <c r="M136" s="3" t="s">
        <v>89</v>
      </c>
      <c r="N136" s="3"/>
      <c r="O136" s="3" t="s">
        <v>89</v>
      </c>
      <c r="P136" s="3" t="s">
        <v>89</v>
      </c>
      <c r="Q136" s="3" t="s">
        <v>89</v>
      </c>
      <c r="R136" s="3">
        <v>14.987536352305742</v>
      </c>
      <c r="S136" s="3">
        <v>20.071542130365678</v>
      </c>
      <c r="T136" s="3">
        <v>67.308991040475476</v>
      </c>
    </row>
    <row r="137" spans="1:20" x14ac:dyDescent="0.25">
      <c r="A137" s="51" t="s">
        <v>224</v>
      </c>
      <c r="B137" s="3" t="s">
        <v>89</v>
      </c>
      <c r="C137" s="3" t="s">
        <v>89</v>
      </c>
      <c r="D137" s="3" t="s">
        <v>89</v>
      </c>
      <c r="E137" s="3" t="s">
        <v>89</v>
      </c>
      <c r="F137" s="3" t="s">
        <v>89</v>
      </c>
      <c r="G137" s="3" t="s">
        <v>89</v>
      </c>
      <c r="H137" s="3">
        <v>0.12793176972281442</v>
      </c>
      <c r="I137" s="3">
        <v>0.2600173344889668</v>
      </c>
      <c r="J137" s="3">
        <v>0.20822488287350385</v>
      </c>
      <c r="K137" s="3">
        <v>0.39959066322304093</v>
      </c>
      <c r="L137" s="3">
        <v>3.6212056434373583</v>
      </c>
      <c r="M137" s="3">
        <v>2.4037251447269052</v>
      </c>
      <c r="N137" s="3">
        <v>2.1552684339496553</v>
      </c>
      <c r="O137" s="3">
        <v>3.9915268316996251</v>
      </c>
      <c r="P137" s="3">
        <v>0.33974193112913514</v>
      </c>
      <c r="Q137" s="3">
        <v>0.39967442934023423</v>
      </c>
      <c r="R137" s="3">
        <v>2.6677585864601836</v>
      </c>
      <c r="S137" s="3">
        <v>3.2494273881960885</v>
      </c>
      <c r="T137" s="3">
        <v>5.300578566825525</v>
      </c>
    </row>
    <row r="138" spans="1:20" x14ac:dyDescent="0.25">
      <c r="A138" s="51" t="s">
        <v>225</v>
      </c>
      <c r="B138" s="3" t="s">
        <v>89</v>
      </c>
      <c r="C138" s="3" t="s">
        <v>89</v>
      </c>
      <c r="D138" s="3" t="s">
        <v>89</v>
      </c>
      <c r="E138" s="3" t="s">
        <v>89</v>
      </c>
      <c r="F138" s="3" t="s">
        <v>89</v>
      </c>
      <c r="G138" s="3" t="s">
        <v>89</v>
      </c>
      <c r="H138" s="3" t="s">
        <v>89</v>
      </c>
      <c r="I138" s="3" t="s">
        <v>89</v>
      </c>
      <c r="J138" s="3">
        <v>0.91131298356364832</v>
      </c>
      <c r="K138" s="3">
        <v>0.73833703377694926</v>
      </c>
      <c r="L138" s="3">
        <v>1.0860617000128097</v>
      </c>
      <c r="M138" s="3">
        <v>1.098116344138893</v>
      </c>
      <c r="N138" s="3">
        <v>3.6976135817628486</v>
      </c>
      <c r="O138" s="3">
        <v>5.1113978409896781</v>
      </c>
      <c r="P138" s="3">
        <v>6.29867334559545</v>
      </c>
      <c r="Q138" s="3">
        <v>8.0978664215746594</v>
      </c>
      <c r="R138" s="3">
        <v>10.998232139987291</v>
      </c>
      <c r="S138" s="3">
        <v>13.09026711697881</v>
      </c>
      <c r="T138" s="3">
        <v>13.574868149507019</v>
      </c>
    </row>
    <row r="140" spans="1:20" x14ac:dyDescent="0.25">
      <c r="A140" t="s">
        <v>23</v>
      </c>
    </row>
  </sheetData>
  <conditionalFormatting sqref="A5:A48">
    <cfRule type="containsText" dxfId="8" priority="3" stopIfTrue="1" operator="containsText" text="estim">
      <formula>NOT(ISERROR(SEARCH("estim",A5)))</formula>
    </cfRule>
  </conditionalFormatting>
  <conditionalFormatting sqref="A50:A93">
    <cfRule type="containsText" dxfId="7" priority="2" stopIfTrue="1" operator="containsText" text="estim">
      <formula>NOT(ISERROR(SEARCH("estim",A50)))</formula>
    </cfRule>
  </conditionalFormatting>
  <conditionalFormatting sqref="A95:A138">
    <cfRule type="containsText" dxfId="6" priority="1" stopIfTrue="1" operator="containsText" text="estim">
      <formula>NOT(ISERROR(SEARCH("estim",A95)))</formula>
    </cfRule>
  </conditionalFormatting>
  <hyperlinks>
    <hyperlink ref="R1" location="Contents!A1" display="Return to Contents" xr:uid="{41A09198-3497-494E-9AA0-82A3B1DC17F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0D38-18F9-453D-AF1B-AF71CF0F086D}">
  <sheetPr codeName="Sheet9"/>
  <dimension ref="A1:T226"/>
  <sheetViews>
    <sheetView zoomScaleNormal="100" workbookViewId="0"/>
  </sheetViews>
  <sheetFormatPr defaultRowHeight="15" x14ac:dyDescent="0.25"/>
  <cols>
    <col min="1" max="1" width="20.140625" bestFit="1" customWidth="1"/>
  </cols>
  <sheetData>
    <row r="1" spans="1:20" x14ac:dyDescent="0.25">
      <c r="A1" s="10" t="s">
        <v>41</v>
      </c>
      <c r="T1" s="34" t="s">
        <v>17</v>
      </c>
    </row>
    <row r="3" spans="1:20" x14ac:dyDescent="0.25">
      <c r="A3" s="6"/>
      <c r="B3" s="5">
        <v>2005</v>
      </c>
      <c r="C3" s="5">
        <v>2006</v>
      </c>
      <c r="D3" s="5">
        <v>2007</v>
      </c>
      <c r="E3" s="5">
        <v>2008</v>
      </c>
      <c r="F3" s="5">
        <v>2009</v>
      </c>
      <c r="G3" s="5">
        <v>2010</v>
      </c>
      <c r="H3" s="5">
        <v>2011</v>
      </c>
      <c r="I3" s="5">
        <v>2012</v>
      </c>
      <c r="J3" s="5">
        <v>2013</v>
      </c>
      <c r="K3" s="5">
        <v>2014</v>
      </c>
      <c r="L3" s="5">
        <v>2015</v>
      </c>
      <c r="M3" s="5">
        <v>2016</v>
      </c>
      <c r="N3" s="5">
        <v>2017</v>
      </c>
      <c r="O3" s="5">
        <v>2018</v>
      </c>
      <c r="P3" s="5">
        <v>2019</v>
      </c>
      <c r="Q3" s="5">
        <v>2020</v>
      </c>
      <c r="R3" s="5">
        <v>2021</v>
      </c>
      <c r="S3" s="5">
        <v>2022</v>
      </c>
      <c r="T3" s="5">
        <v>2023</v>
      </c>
    </row>
    <row r="4" spans="1:20" x14ac:dyDescent="0.25">
      <c r="A4" s="9" t="s">
        <v>183</v>
      </c>
      <c r="B4" s="9"/>
      <c r="C4" s="9"/>
      <c r="D4" s="9"/>
      <c r="E4" s="9"/>
      <c r="F4" s="9"/>
      <c r="G4" s="9"/>
      <c r="H4" s="9"/>
      <c r="I4" s="9"/>
      <c r="J4" s="9"/>
      <c r="K4" s="9"/>
      <c r="L4" s="9"/>
      <c r="M4" s="9"/>
      <c r="N4" s="9"/>
      <c r="O4" s="9"/>
      <c r="P4" s="9"/>
      <c r="Q4" s="9"/>
      <c r="R4" s="9"/>
      <c r="S4" s="9"/>
      <c r="T4" s="9"/>
    </row>
    <row r="5" spans="1:20" x14ac:dyDescent="0.25">
      <c r="A5" s="59" t="s">
        <v>42</v>
      </c>
      <c r="B5" s="57"/>
      <c r="C5" s="57">
        <v>40</v>
      </c>
      <c r="D5" s="57"/>
      <c r="E5" s="57"/>
      <c r="F5" s="57"/>
      <c r="G5" s="57"/>
      <c r="H5" s="57"/>
      <c r="I5" s="57"/>
      <c r="J5" s="57">
        <v>90</v>
      </c>
      <c r="K5" s="57">
        <v>92</v>
      </c>
      <c r="L5" s="57">
        <v>99</v>
      </c>
      <c r="M5" s="57">
        <v>90</v>
      </c>
      <c r="N5" s="57">
        <v>90</v>
      </c>
      <c r="O5" s="57">
        <v>90</v>
      </c>
      <c r="P5" s="57">
        <v>90</v>
      </c>
      <c r="Q5" s="57">
        <v>90</v>
      </c>
      <c r="R5" s="57">
        <v>100</v>
      </c>
      <c r="S5" s="57">
        <v>87.52</v>
      </c>
      <c r="T5" s="57">
        <v>87.52</v>
      </c>
    </row>
    <row r="6" spans="1:20" x14ac:dyDescent="0.25">
      <c r="A6" s="59" t="s">
        <v>43</v>
      </c>
      <c r="B6" s="57"/>
      <c r="C6" s="57"/>
      <c r="D6" s="57"/>
      <c r="E6" s="57"/>
      <c r="F6" s="57"/>
      <c r="G6" s="57"/>
      <c r="H6" s="57">
        <v>40</v>
      </c>
      <c r="I6" s="57">
        <v>47</v>
      </c>
      <c r="J6" s="57">
        <v>53</v>
      </c>
      <c r="K6" s="57">
        <v>46</v>
      </c>
      <c r="L6" s="58">
        <v>60.67</v>
      </c>
      <c r="M6" s="57">
        <v>62</v>
      </c>
      <c r="N6" s="57">
        <v>85</v>
      </c>
      <c r="O6" s="57">
        <v>85</v>
      </c>
      <c r="P6" s="57">
        <v>85</v>
      </c>
      <c r="Q6" s="57">
        <v>87</v>
      </c>
      <c r="R6" s="57">
        <v>87.2</v>
      </c>
      <c r="S6" s="57">
        <v>85.8</v>
      </c>
      <c r="T6" s="57">
        <v>85.8</v>
      </c>
    </row>
    <row r="7" spans="1:20" x14ac:dyDescent="0.25">
      <c r="A7" s="59" t="s">
        <v>44</v>
      </c>
      <c r="B7" s="57"/>
      <c r="C7" s="57"/>
      <c r="D7" s="57"/>
      <c r="E7" s="57"/>
      <c r="F7" s="57"/>
      <c r="G7" s="57"/>
      <c r="H7" s="57"/>
      <c r="I7" s="57"/>
      <c r="J7" s="57"/>
      <c r="K7" s="57"/>
      <c r="L7" s="57">
        <v>7</v>
      </c>
      <c r="M7" s="57">
        <v>8</v>
      </c>
      <c r="N7" s="57">
        <v>8</v>
      </c>
      <c r="O7" s="57">
        <v>8</v>
      </c>
      <c r="P7" s="57">
        <v>18</v>
      </c>
      <c r="Q7" s="57">
        <v>30</v>
      </c>
      <c r="R7" s="57">
        <v>33</v>
      </c>
      <c r="S7" s="57">
        <v>57.9</v>
      </c>
      <c r="T7" s="57">
        <v>76.78</v>
      </c>
    </row>
    <row r="8" spans="1:20" x14ac:dyDescent="0.25">
      <c r="A8" s="59" t="s">
        <v>45</v>
      </c>
      <c r="B8" s="57"/>
      <c r="C8" s="57"/>
      <c r="D8" s="57"/>
      <c r="E8" s="57"/>
      <c r="F8" s="57"/>
      <c r="G8" s="57"/>
      <c r="H8" s="57"/>
      <c r="I8" s="57"/>
      <c r="J8" s="57"/>
      <c r="K8" s="57"/>
      <c r="L8" s="57"/>
      <c r="M8" s="57"/>
      <c r="N8" s="57"/>
      <c r="O8" s="57"/>
      <c r="P8" s="57"/>
      <c r="Q8" s="57"/>
      <c r="R8" s="57"/>
      <c r="S8" s="57"/>
      <c r="T8" s="57">
        <v>17.260000000000002</v>
      </c>
    </row>
    <row r="9" spans="1:20" x14ac:dyDescent="0.25">
      <c r="A9" s="9" t="s">
        <v>184</v>
      </c>
      <c r="B9" s="9"/>
      <c r="C9" s="9"/>
      <c r="D9" s="9"/>
      <c r="E9" s="9"/>
      <c r="F9" s="9"/>
      <c r="G9" s="9"/>
      <c r="H9" s="9"/>
      <c r="I9" s="9"/>
      <c r="J9" s="9"/>
      <c r="K9" s="9"/>
      <c r="L9" s="9"/>
      <c r="M9" s="9"/>
      <c r="N9" s="9"/>
      <c r="O9" s="9"/>
      <c r="P9" s="9"/>
      <c r="Q9" s="9"/>
      <c r="R9" s="9"/>
      <c r="S9" s="9"/>
      <c r="T9" s="9"/>
    </row>
    <row r="10" spans="1:20" x14ac:dyDescent="0.25">
      <c r="A10" s="59" t="s">
        <v>42</v>
      </c>
      <c r="B10" s="57">
        <v>43</v>
      </c>
      <c r="C10" s="57">
        <v>70</v>
      </c>
      <c r="D10" s="57">
        <v>75</v>
      </c>
      <c r="E10" s="57">
        <v>79</v>
      </c>
      <c r="F10" s="57">
        <v>82</v>
      </c>
      <c r="G10" s="57">
        <v>90</v>
      </c>
      <c r="H10" s="57">
        <v>99</v>
      </c>
      <c r="I10" s="57">
        <v>99</v>
      </c>
      <c r="J10" s="57"/>
      <c r="K10" s="57">
        <v>99</v>
      </c>
      <c r="L10" s="58">
        <v>98</v>
      </c>
      <c r="M10" s="57">
        <v>98</v>
      </c>
      <c r="N10" s="57">
        <v>98</v>
      </c>
      <c r="O10" s="57">
        <v>98</v>
      </c>
      <c r="P10" s="57">
        <v>98</v>
      </c>
      <c r="Q10" s="57">
        <v>98</v>
      </c>
      <c r="R10" s="57">
        <v>98</v>
      </c>
      <c r="S10" s="57">
        <v>98</v>
      </c>
      <c r="T10" s="57">
        <v>98</v>
      </c>
    </row>
    <row r="11" spans="1:20" x14ac:dyDescent="0.25">
      <c r="A11" s="59" t="s">
        <v>43</v>
      </c>
      <c r="B11" s="57"/>
      <c r="C11" s="57"/>
      <c r="D11" s="57">
        <v>0</v>
      </c>
      <c r="E11" s="57">
        <v>0</v>
      </c>
      <c r="F11" s="57">
        <v>0</v>
      </c>
      <c r="G11" s="57">
        <v>0</v>
      </c>
      <c r="H11" s="57">
        <v>0</v>
      </c>
      <c r="I11" s="57">
        <v>0</v>
      </c>
      <c r="J11" s="57">
        <v>25</v>
      </c>
      <c r="K11" s="57">
        <v>30</v>
      </c>
      <c r="L11" s="57">
        <v>45</v>
      </c>
      <c r="M11" s="57">
        <v>45</v>
      </c>
      <c r="N11" s="57">
        <v>65</v>
      </c>
      <c r="O11" s="57">
        <v>80</v>
      </c>
      <c r="P11" s="57">
        <v>80</v>
      </c>
      <c r="Q11" s="57">
        <v>80</v>
      </c>
      <c r="R11" s="57">
        <v>80</v>
      </c>
      <c r="S11" s="57">
        <v>82</v>
      </c>
      <c r="T11" s="57">
        <v>85</v>
      </c>
    </row>
    <row r="12" spans="1:20" x14ac:dyDescent="0.25">
      <c r="A12" s="59" t="s">
        <v>44</v>
      </c>
      <c r="B12" s="57"/>
      <c r="C12" s="57"/>
      <c r="D12" s="57"/>
      <c r="E12" s="57"/>
      <c r="F12" s="57"/>
      <c r="G12" s="57"/>
      <c r="H12" s="57"/>
      <c r="I12" s="57"/>
      <c r="J12" s="57"/>
      <c r="K12" s="57"/>
      <c r="L12" s="58">
        <v>11.52</v>
      </c>
      <c r="M12" s="57">
        <v>23.89</v>
      </c>
      <c r="N12" s="57">
        <v>39.72</v>
      </c>
      <c r="O12" s="57">
        <v>40</v>
      </c>
      <c r="P12" s="57">
        <v>45</v>
      </c>
      <c r="Q12" s="57">
        <v>46</v>
      </c>
      <c r="R12" s="57">
        <v>46</v>
      </c>
      <c r="S12" s="57">
        <v>80</v>
      </c>
      <c r="T12" s="57">
        <v>80</v>
      </c>
    </row>
    <row r="13" spans="1:20" x14ac:dyDescent="0.25">
      <c r="A13" s="59" t="s">
        <v>45</v>
      </c>
      <c r="B13" s="57"/>
      <c r="C13" s="57"/>
      <c r="D13" s="57"/>
      <c r="E13" s="57"/>
      <c r="F13" s="57"/>
      <c r="G13" s="57"/>
      <c r="H13" s="57"/>
      <c r="I13" s="57"/>
      <c r="J13" s="57"/>
      <c r="K13" s="57"/>
      <c r="L13" s="57"/>
      <c r="M13" s="57"/>
      <c r="N13" s="57"/>
      <c r="O13" s="57"/>
      <c r="P13" s="57"/>
      <c r="Q13" s="57"/>
      <c r="R13" s="57">
        <v>0</v>
      </c>
      <c r="S13" s="57">
        <v>0</v>
      </c>
      <c r="T13" s="57">
        <v>0</v>
      </c>
    </row>
    <row r="14" spans="1:20" x14ac:dyDescent="0.25">
      <c r="A14" s="9" t="s">
        <v>185</v>
      </c>
      <c r="B14" s="9"/>
      <c r="C14" s="9"/>
      <c r="D14" s="9"/>
      <c r="E14" s="9"/>
      <c r="F14" s="9"/>
      <c r="G14" s="9"/>
      <c r="H14" s="9"/>
      <c r="I14" s="9"/>
      <c r="J14" s="9"/>
      <c r="K14" s="9"/>
      <c r="L14" s="9"/>
      <c r="M14" s="9"/>
      <c r="N14" s="9"/>
      <c r="O14" s="9"/>
      <c r="P14" s="9"/>
      <c r="Q14" s="9"/>
      <c r="R14" s="9"/>
      <c r="S14" s="9"/>
      <c r="T14" s="9"/>
    </row>
    <row r="15" spans="1:20" x14ac:dyDescent="0.25">
      <c r="A15" s="59" t="s">
        <v>42</v>
      </c>
      <c r="B15" s="57">
        <v>99</v>
      </c>
      <c r="C15" s="57">
        <v>99</v>
      </c>
      <c r="D15" s="57">
        <v>99</v>
      </c>
      <c r="E15" s="57">
        <v>99</v>
      </c>
      <c r="F15" s="57"/>
      <c r="G15" s="57"/>
      <c r="H15" s="57">
        <v>96</v>
      </c>
      <c r="I15" s="57">
        <v>96</v>
      </c>
      <c r="J15" s="57"/>
      <c r="K15" s="57">
        <v>98</v>
      </c>
      <c r="L15" s="57">
        <v>98</v>
      </c>
      <c r="M15" s="57">
        <v>98</v>
      </c>
      <c r="N15" s="57">
        <v>97</v>
      </c>
      <c r="O15" s="57">
        <v>97</v>
      </c>
      <c r="P15" s="57">
        <v>97</v>
      </c>
      <c r="Q15" s="57">
        <v>98</v>
      </c>
      <c r="R15" s="57">
        <v>98</v>
      </c>
      <c r="S15" s="57">
        <v>98</v>
      </c>
      <c r="T15" s="57">
        <v>99</v>
      </c>
    </row>
    <row r="16" spans="1:20" x14ac:dyDescent="0.25">
      <c r="A16" s="59" t="s">
        <v>43</v>
      </c>
      <c r="B16" s="57"/>
      <c r="C16" s="57"/>
      <c r="D16" s="57"/>
      <c r="E16" s="57"/>
      <c r="F16" s="57"/>
      <c r="G16" s="57"/>
      <c r="H16" s="57">
        <v>40</v>
      </c>
      <c r="I16" s="57">
        <v>45</v>
      </c>
      <c r="J16" s="58">
        <v>68.239999999999995</v>
      </c>
      <c r="K16" s="57">
        <v>78</v>
      </c>
      <c r="L16" s="57">
        <v>82</v>
      </c>
      <c r="M16" s="57">
        <v>84</v>
      </c>
      <c r="N16" s="57">
        <v>80</v>
      </c>
      <c r="O16" s="57">
        <v>95</v>
      </c>
      <c r="P16" s="57">
        <v>96</v>
      </c>
      <c r="Q16" s="57">
        <v>97</v>
      </c>
      <c r="R16" s="57">
        <v>98</v>
      </c>
      <c r="S16" s="57">
        <v>98</v>
      </c>
      <c r="T16" s="57">
        <v>98</v>
      </c>
    </row>
    <row r="17" spans="1:20" x14ac:dyDescent="0.25">
      <c r="A17" s="59" t="s">
        <v>44</v>
      </c>
      <c r="B17" s="57"/>
      <c r="C17" s="57"/>
      <c r="D17" s="57"/>
      <c r="E17" s="57"/>
      <c r="F17" s="57"/>
      <c r="G17" s="57"/>
      <c r="H17" s="57"/>
      <c r="I17" s="57"/>
      <c r="J17" s="57"/>
      <c r="K17" s="58">
        <v>0</v>
      </c>
      <c r="L17" s="57">
        <v>40</v>
      </c>
      <c r="M17" s="57">
        <v>64</v>
      </c>
      <c r="N17" s="57">
        <v>64</v>
      </c>
      <c r="O17" s="57">
        <v>65</v>
      </c>
      <c r="P17" s="57">
        <v>68</v>
      </c>
      <c r="Q17" s="57">
        <v>77</v>
      </c>
      <c r="R17" s="57">
        <v>88</v>
      </c>
      <c r="S17" s="57">
        <v>91</v>
      </c>
      <c r="T17" s="57">
        <v>91</v>
      </c>
    </row>
    <row r="18" spans="1:20" x14ac:dyDescent="0.25">
      <c r="A18" s="59" t="s">
        <v>45</v>
      </c>
      <c r="B18" s="57"/>
      <c r="C18" s="57"/>
      <c r="D18" s="57"/>
      <c r="E18" s="57"/>
      <c r="F18" s="57"/>
      <c r="G18" s="57"/>
      <c r="H18" s="57"/>
      <c r="I18" s="57"/>
      <c r="J18" s="57"/>
      <c r="K18" s="57"/>
      <c r="L18" s="57"/>
      <c r="M18" s="57"/>
      <c r="N18" s="57"/>
      <c r="O18" s="57"/>
      <c r="P18" s="57"/>
      <c r="Q18" s="57"/>
      <c r="R18" s="57"/>
      <c r="S18" s="57">
        <v>23</v>
      </c>
      <c r="T18" s="57">
        <v>23</v>
      </c>
    </row>
    <row r="19" spans="1:20" x14ac:dyDescent="0.25">
      <c r="A19" s="9" t="s">
        <v>186</v>
      </c>
      <c r="B19" s="9"/>
      <c r="C19" s="9"/>
      <c r="D19" s="9"/>
      <c r="E19" s="9"/>
      <c r="F19" s="9"/>
      <c r="G19" s="9"/>
      <c r="H19" s="9"/>
      <c r="I19" s="9"/>
      <c r="J19" s="9"/>
      <c r="K19" s="9"/>
      <c r="L19" s="9"/>
      <c r="M19" s="9"/>
      <c r="N19" s="9"/>
      <c r="O19" s="9"/>
      <c r="P19" s="9"/>
      <c r="Q19" s="9"/>
      <c r="R19" s="9"/>
      <c r="S19" s="9"/>
      <c r="T19" s="9"/>
    </row>
    <row r="20" spans="1:20" x14ac:dyDescent="0.25">
      <c r="A20" s="59" t="s">
        <v>42</v>
      </c>
      <c r="B20" s="57">
        <v>26</v>
      </c>
      <c r="C20" s="57">
        <v>61.1</v>
      </c>
      <c r="D20" s="57"/>
      <c r="E20" s="57"/>
      <c r="F20" s="57"/>
      <c r="G20" s="57"/>
      <c r="H20" s="57"/>
      <c r="I20" s="57"/>
      <c r="J20" s="57"/>
      <c r="K20" s="57"/>
      <c r="L20" s="57"/>
      <c r="M20" s="57">
        <v>93</v>
      </c>
      <c r="N20" s="57">
        <v>93</v>
      </c>
      <c r="O20" s="57">
        <v>92</v>
      </c>
      <c r="P20" s="57">
        <v>92</v>
      </c>
      <c r="Q20" s="57">
        <v>92</v>
      </c>
      <c r="R20" s="57">
        <v>92.6</v>
      </c>
      <c r="S20" s="58">
        <v>92.6</v>
      </c>
      <c r="T20" s="57"/>
    </row>
    <row r="21" spans="1:20" x14ac:dyDescent="0.25">
      <c r="A21" s="59" t="s">
        <v>43</v>
      </c>
      <c r="B21" s="57"/>
      <c r="C21" s="57"/>
      <c r="D21" s="57">
        <v>0</v>
      </c>
      <c r="E21" s="57">
        <v>0</v>
      </c>
      <c r="F21" s="57">
        <v>0</v>
      </c>
      <c r="G21" s="57"/>
      <c r="H21" s="57"/>
      <c r="I21" s="57"/>
      <c r="J21" s="57"/>
      <c r="K21" s="58">
        <v>0</v>
      </c>
      <c r="L21" s="58">
        <v>10</v>
      </c>
      <c r="M21" s="57">
        <v>23</v>
      </c>
      <c r="N21" s="57">
        <v>28.2</v>
      </c>
      <c r="O21" s="57">
        <v>33</v>
      </c>
      <c r="P21" s="57">
        <v>48.4</v>
      </c>
      <c r="Q21" s="57">
        <v>48.4</v>
      </c>
      <c r="R21" s="57">
        <v>53.2</v>
      </c>
      <c r="S21" s="58">
        <v>58.04</v>
      </c>
      <c r="T21" s="58">
        <v>63.3203308270677</v>
      </c>
    </row>
    <row r="22" spans="1:20" x14ac:dyDescent="0.25">
      <c r="A22" s="59" t="s">
        <v>44</v>
      </c>
      <c r="B22" s="57"/>
      <c r="C22" s="57"/>
      <c r="D22" s="57"/>
      <c r="E22" s="57"/>
      <c r="F22" s="57"/>
      <c r="G22" s="57"/>
      <c r="H22" s="57"/>
      <c r="I22" s="57"/>
      <c r="J22" s="57"/>
      <c r="K22" s="58">
        <v>0</v>
      </c>
      <c r="L22" s="58">
        <v>0</v>
      </c>
      <c r="M22" s="57">
        <v>0</v>
      </c>
      <c r="N22" s="57">
        <v>0</v>
      </c>
      <c r="O22" s="57">
        <v>0</v>
      </c>
      <c r="P22" s="57">
        <v>26.92</v>
      </c>
      <c r="Q22" s="57">
        <v>26.92</v>
      </c>
      <c r="R22" s="57">
        <v>36.6</v>
      </c>
      <c r="S22" s="58">
        <v>39.39</v>
      </c>
      <c r="T22" s="58">
        <v>42.392680327868902</v>
      </c>
    </row>
    <row r="23" spans="1:20" x14ac:dyDescent="0.25">
      <c r="A23" s="59" t="s">
        <v>45</v>
      </c>
      <c r="B23" s="57"/>
      <c r="C23" s="57"/>
      <c r="D23" s="57"/>
      <c r="E23" s="57"/>
      <c r="F23" s="57"/>
      <c r="G23" s="57"/>
      <c r="H23" s="57"/>
      <c r="I23" s="57"/>
      <c r="J23" s="57"/>
      <c r="K23" s="57"/>
      <c r="L23" s="57"/>
      <c r="M23" s="57"/>
      <c r="N23" s="57"/>
      <c r="O23" s="57"/>
      <c r="P23" s="57"/>
      <c r="Q23" s="57"/>
      <c r="R23" s="58">
        <v>0</v>
      </c>
      <c r="S23" s="57"/>
      <c r="T23" s="57"/>
    </row>
    <row r="24" spans="1:20" x14ac:dyDescent="0.25">
      <c r="A24" s="9" t="s">
        <v>187</v>
      </c>
      <c r="B24" s="9"/>
      <c r="C24" s="9"/>
      <c r="D24" s="9"/>
      <c r="E24" s="9"/>
      <c r="F24" s="9"/>
      <c r="G24" s="9"/>
      <c r="H24" s="9"/>
      <c r="I24" s="9"/>
      <c r="J24" s="9"/>
      <c r="K24" s="9"/>
      <c r="L24" s="9"/>
      <c r="M24" s="9"/>
      <c r="N24" s="9"/>
      <c r="O24" s="9"/>
      <c r="P24" s="9"/>
      <c r="Q24" s="9"/>
      <c r="R24" s="9"/>
      <c r="S24" s="9"/>
      <c r="T24" s="9"/>
    </row>
    <row r="25" spans="1:20" x14ac:dyDescent="0.25">
      <c r="A25" s="59" t="s">
        <v>42</v>
      </c>
      <c r="B25" s="57"/>
      <c r="C25" s="57">
        <v>82</v>
      </c>
      <c r="D25" s="57"/>
      <c r="E25" s="57"/>
      <c r="F25" s="57">
        <v>83</v>
      </c>
      <c r="G25" s="57"/>
      <c r="H25" s="57"/>
      <c r="I25" s="57"/>
      <c r="J25" s="57"/>
      <c r="K25" s="57"/>
      <c r="L25" s="57">
        <v>52.5</v>
      </c>
      <c r="M25" s="57">
        <v>49</v>
      </c>
      <c r="N25" s="57">
        <v>50</v>
      </c>
      <c r="O25" s="57">
        <v>95.4</v>
      </c>
      <c r="P25" s="57">
        <v>96.8</v>
      </c>
      <c r="Q25" s="57">
        <v>96.8</v>
      </c>
      <c r="R25" s="57">
        <v>96.8</v>
      </c>
      <c r="S25" s="57">
        <v>96.8</v>
      </c>
      <c r="T25" s="57">
        <v>96.8</v>
      </c>
    </row>
    <row r="26" spans="1:20" x14ac:dyDescent="0.25">
      <c r="A26" s="59" t="s">
        <v>43</v>
      </c>
      <c r="B26" s="57"/>
      <c r="C26" s="57"/>
      <c r="D26" s="57"/>
      <c r="E26" s="57"/>
      <c r="F26" s="57">
        <v>0</v>
      </c>
      <c r="G26" s="57"/>
      <c r="H26" s="57"/>
      <c r="I26" s="57"/>
      <c r="J26" s="57"/>
      <c r="K26" s="58">
        <v>0</v>
      </c>
      <c r="L26" s="58">
        <v>0</v>
      </c>
      <c r="M26" s="57">
        <v>11</v>
      </c>
      <c r="N26" s="57">
        <v>39.020000000000003</v>
      </c>
      <c r="O26" s="57">
        <v>44.48</v>
      </c>
      <c r="P26" s="57">
        <v>48</v>
      </c>
      <c r="Q26" s="57">
        <v>50.6</v>
      </c>
      <c r="R26" s="57">
        <v>50.6</v>
      </c>
      <c r="S26" s="57">
        <v>50.6</v>
      </c>
      <c r="T26" s="57">
        <v>53.2</v>
      </c>
    </row>
    <row r="27" spans="1:20" x14ac:dyDescent="0.25">
      <c r="A27" s="59" t="s">
        <v>44</v>
      </c>
      <c r="B27" s="57"/>
      <c r="C27" s="57"/>
      <c r="D27" s="57"/>
      <c r="E27" s="57"/>
      <c r="F27" s="57"/>
      <c r="G27" s="57"/>
      <c r="H27" s="57"/>
      <c r="I27" s="57">
        <v>0</v>
      </c>
      <c r="J27" s="57">
        <v>0</v>
      </c>
      <c r="K27" s="57">
        <v>0</v>
      </c>
      <c r="L27" s="57">
        <v>0</v>
      </c>
      <c r="M27" s="57">
        <v>0</v>
      </c>
      <c r="N27" s="57">
        <v>11</v>
      </c>
      <c r="O27" s="57">
        <v>20.93</v>
      </c>
      <c r="P27" s="57">
        <v>25</v>
      </c>
      <c r="Q27" s="57">
        <v>27.1</v>
      </c>
      <c r="R27" s="57">
        <v>32.18</v>
      </c>
      <c r="S27" s="57">
        <v>32.18</v>
      </c>
      <c r="T27" s="57">
        <v>32.18</v>
      </c>
    </row>
    <row r="28" spans="1:20" x14ac:dyDescent="0.25">
      <c r="A28" s="59" t="s">
        <v>45</v>
      </c>
      <c r="B28" s="57"/>
      <c r="C28" s="57"/>
      <c r="D28" s="57"/>
      <c r="E28" s="57"/>
      <c r="F28" s="57"/>
      <c r="G28" s="57"/>
      <c r="H28" s="57"/>
      <c r="I28" s="57"/>
      <c r="J28" s="57"/>
      <c r="K28" s="57"/>
      <c r="L28" s="57"/>
      <c r="M28" s="57"/>
      <c r="N28" s="57"/>
      <c r="O28" s="57"/>
      <c r="P28" s="57"/>
      <c r="Q28" s="57">
        <v>0</v>
      </c>
      <c r="R28" s="57">
        <v>0</v>
      </c>
      <c r="S28" s="57">
        <v>0</v>
      </c>
      <c r="T28" s="57">
        <v>0</v>
      </c>
    </row>
    <row r="29" spans="1:20" x14ac:dyDescent="0.25">
      <c r="A29" s="9" t="s">
        <v>189</v>
      </c>
      <c r="B29" s="9"/>
      <c r="C29" s="9"/>
      <c r="D29" s="9"/>
      <c r="E29" s="9"/>
      <c r="F29" s="9"/>
      <c r="G29" s="9"/>
      <c r="H29" s="9"/>
      <c r="I29" s="9"/>
      <c r="J29" s="9"/>
      <c r="K29" s="9"/>
      <c r="L29" s="9"/>
      <c r="M29" s="9"/>
      <c r="N29" s="9"/>
      <c r="O29" s="9"/>
      <c r="P29" s="9"/>
      <c r="Q29" s="9"/>
      <c r="R29" s="9"/>
      <c r="S29" s="9"/>
      <c r="T29" s="9"/>
    </row>
    <row r="30" spans="1:20" x14ac:dyDescent="0.25">
      <c r="A30" s="59" t="s">
        <v>42</v>
      </c>
      <c r="B30" s="57">
        <v>85</v>
      </c>
      <c r="C30" s="57">
        <v>87</v>
      </c>
      <c r="D30" s="57">
        <v>91</v>
      </c>
      <c r="E30" s="57">
        <v>96</v>
      </c>
      <c r="F30" s="57"/>
      <c r="G30" s="57"/>
      <c r="H30" s="57">
        <v>96</v>
      </c>
      <c r="I30" s="57">
        <v>96</v>
      </c>
      <c r="J30" s="57"/>
      <c r="K30" s="57">
        <v>98.44</v>
      </c>
      <c r="L30" s="57">
        <v>98.76</v>
      </c>
      <c r="M30" s="57">
        <v>98.76</v>
      </c>
      <c r="N30" s="57">
        <v>99.34</v>
      </c>
      <c r="O30" s="57">
        <v>99.34</v>
      </c>
      <c r="P30" s="57">
        <v>99.34</v>
      </c>
      <c r="Q30" s="57">
        <v>99.34</v>
      </c>
      <c r="R30" s="57">
        <v>99.34</v>
      </c>
      <c r="S30" s="57">
        <v>99.34</v>
      </c>
      <c r="T30" s="57">
        <v>99.4</v>
      </c>
    </row>
    <row r="31" spans="1:20" x14ac:dyDescent="0.25">
      <c r="A31" s="59" t="s">
        <v>43</v>
      </c>
      <c r="B31" s="57"/>
      <c r="C31" s="57"/>
      <c r="D31" s="57"/>
      <c r="E31" s="57"/>
      <c r="F31" s="57"/>
      <c r="G31" s="57"/>
      <c r="H31" s="57">
        <v>50</v>
      </c>
      <c r="I31" s="57">
        <v>80</v>
      </c>
      <c r="J31" s="57"/>
      <c r="K31" s="57">
        <v>76.5</v>
      </c>
      <c r="L31" s="57">
        <v>86.8</v>
      </c>
      <c r="M31" s="57">
        <v>87.6</v>
      </c>
      <c r="N31" s="57">
        <v>91.07</v>
      </c>
      <c r="O31" s="57">
        <v>91.07</v>
      </c>
      <c r="P31" s="57">
        <v>93.74</v>
      </c>
      <c r="Q31" s="57">
        <v>93.74</v>
      </c>
      <c r="R31" s="57">
        <v>93.82</v>
      </c>
      <c r="S31" s="57">
        <v>93.82</v>
      </c>
      <c r="T31" s="57">
        <v>94.16</v>
      </c>
    </row>
    <row r="32" spans="1:20" x14ac:dyDescent="0.25">
      <c r="A32" s="59" t="s">
        <v>44</v>
      </c>
      <c r="B32" s="57"/>
      <c r="C32" s="57"/>
      <c r="D32" s="57"/>
      <c r="E32" s="57"/>
      <c r="F32" s="57"/>
      <c r="G32" s="57"/>
      <c r="H32" s="57"/>
      <c r="I32" s="57"/>
      <c r="J32" s="57"/>
      <c r="K32" s="57"/>
      <c r="L32" s="58">
        <v>0</v>
      </c>
      <c r="M32" s="57">
        <v>0</v>
      </c>
      <c r="N32" s="57">
        <v>0</v>
      </c>
      <c r="O32" s="57"/>
      <c r="P32" s="57">
        <v>79.42</v>
      </c>
      <c r="Q32" s="57">
        <v>79.42</v>
      </c>
      <c r="R32" s="57">
        <v>80.03</v>
      </c>
      <c r="S32" s="57">
        <v>80.23</v>
      </c>
      <c r="T32" s="57">
        <v>84.7</v>
      </c>
    </row>
    <row r="33" spans="1:20" x14ac:dyDescent="0.25">
      <c r="A33" s="59" t="s">
        <v>45</v>
      </c>
      <c r="B33" s="57"/>
      <c r="C33" s="57"/>
      <c r="D33" s="57"/>
      <c r="E33" s="57"/>
      <c r="F33" s="57"/>
      <c r="G33" s="57"/>
      <c r="H33" s="57"/>
      <c r="I33" s="57"/>
      <c r="J33" s="57"/>
      <c r="K33" s="57"/>
      <c r="L33" s="57"/>
      <c r="M33" s="57"/>
      <c r="N33" s="57"/>
      <c r="O33" s="57"/>
      <c r="P33" s="57"/>
      <c r="Q33" s="57"/>
      <c r="R33" s="57">
        <v>0</v>
      </c>
      <c r="S33" s="57"/>
      <c r="T33" s="57"/>
    </row>
    <row r="34" spans="1:20" x14ac:dyDescent="0.25">
      <c r="A34" s="9" t="s">
        <v>188</v>
      </c>
      <c r="B34" s="9"/>
      <c r="C34" s="9"/>
      <c r="D34" s="9"/>
      <c r="E34" s="9"/>
      <c r="F34" s="9"/>
      <c r="G34" s="9"/>
      <c r="H34" s="9"/>
      <c r="I34" s="9"/>
      <c r="J34" s="9"/>
      <c r="K34" s="9"/>
      <c r="L34" s="9"/>
      <c r="M34" s="9"/>
      <c r="N34" s="9"/>
      <c r="O34" s="9"/>
      <c r="P34" s="9"/>
      <c r="Q34" s="9"/>
      <c r="R34" s="9"/>
      <c r="S34" s="9"/>
      <c r="T34" s="9"/>
    </row>
    <row r="35" spans="1:20" x14ac:dyDescent="0.25">
      <c r="A35" s="59" t="s">
        <v>42</v>
      </c>
      <c r="B35" s="57">
        <v>54</v>
      </c>
      <c r="C35" s="57">
        <v>58</v>
      </c>
      <c r="D35" s="57"/>
      <c r="E35" s="57"/>
      <c r="F35" s="57"/>
      <c r="G35" s="57"/>
      <c r="H35" s="57"/>
      <c r="I35" s="57"/>
      <c r="J35" s="57"/>
      <c r="K35" s="57">
        <v>79.680000000000007</v>
      </c>
      <c r="L35" s="57">
        <v>81.88</v>
      </c>
      <c r="M35" s="57">
        <v>82.82</v>
      </c>
      <c r="N35" s="57">
        <v>84.76</v>
      </c>
      <c r="O35" s="57">
        <v>72.150000000000006</v>
      </c>
      <c r="P35" s="57">
        <v>78.52</v>
      </c>
      <c r="Q35" s="57">
        <v>77.31</v>
      </c>
      <c r="R35" s="57">
        <v>79.89</v>
      </c>
      <c r="S35" s="57">
        <v>80.099999999999994</v>
      </c>
      <c r="T35" s="57">
        <v>87.8</v>
      </c>
    </row>
    <row r="36" spans="1:20" x14ac:dyDescent="0.25">
      <c r="A36" s="59" t="s">
        <v>43</v>
      </c>
      <c r="B36" s="57"/>
      <c r="C36" s="57"/>
      <c r="D36" s="57"/>
      <c r="E36" s="57"/>
      <c r="F36" s="57"/>
      <c r="G36" s="57"/>
      <c r="H36" s="57"/>
      <c r="I36" s="57"/>
      <c r="J36" s="57"/>
      <c r="K36" s="57"/>
      <c r="L36" s="57"/>
      <c r="M36" s="57"/>
      <c r="N36" s="57"/>
      <c r="O36" s="57"/>
      <c r="P36" s="58">
        <v>50</v>
      </c>
      <c r="Q36" s="58">
        <v>60</v>
      </c>
      <c r="R36" s="57">
        <v>65</v>
      </c>
      <c r="S36" s="57">
        <v>70</v>
      </c>
      <c r="T36" s="58">
        <v>75</v>
      </c>
    </row>
    <row r="37" spans="1:20" x14ac:dyDescent="0.25">
      <c r="A37" s="59" t="s">
        <v>44</v>
      </c>
      <c r="B37" s="57"/>
      <c r="C37" s="57"/>
      <c r="D37" s="57"/>
      <c r="E37" s="57"/>
      <c r="F37" s="57"/>
      <c r="G37" s="57"/>
      <c r="H37" s="57"/>
      <c r="I37" s="57"/>
      <c r="J37" s="57"/>
      <c r="K37" s="57"/>
      <c r="L37" s="57"/>
      <c r="M37" s="57"/>
      <c r="N37" s="57"/>
      <c r="O37" s="57"/>
      <c r="P37" s="58">
        <v>50</v>
      </c>
      <c r="Q37" s="58">
        <v>60</v>
      </c>
      <c r="R37" s="57">
        <v>65</v>
      </c>
      <c r="S37" s="57">
        <v>70</v>
      </c>
      <c r="T37" s="58">
        <v>75</v>
      </c>
    </row>
    <row r="38" spans="1:20" x14ac:dyDescent="0.25">
      <c r="A38" s="59" t="s">
        <v>45</v>
      </c>
      <c r="B38" s="57"/>
      <c r="C38" s="57"/>
      <c r="D38" s="57"/>
      <c r="E38" s="57"/>
      <c r="F38" s="57"/>
      <c r="G38" s="57"/>
      <c r="H38" s="57"/>
      <c r="I38" s="57"/>
      <c r="J38" s="57"/>
      <c r="K38" s="57"/>
      <c r="L38" s="57"/>
      <c r="M38" s="57"/>
      <c r="N38" s="57"/>
      <c r="O38" s="57"/>
      <c r="P38" s="57"/>
      <c r="Q38" s="57"/>
      <c r="R38" s="57">
        <v>0</v>
      </c>
      <c r="S38" s="57"/>
      <c r="T38" s="57"/>
    </row>
    <row r="39" spans="1:20" x14ac:dyDescent="0.25">
      <c r="A39" s="9" t="s">
        <v>190</v>
      </c>
      <c r="B39" s="9"/>
      <c r="C39" s="9"/>
      <c r="D39" s="9"/>
      <c r="E39" s="9"/>
      <c r="F39" s="9"/>
      <c r="G39" s="9"/>
      <c r="H39" s="9"/>
      <c r="I39" s="9"/>
      <c r="J39" s="9"/>
      <c r="K39" s="9"/>
      <c r="L39" s="9"/>
      <c r="M39" s="9"/>
      <c r="N39" s="9"/>
      <c r="O39" s="9"/>
      <c r="P39" s="9"/>
      <c r="Q39" s="9"/>
      <c r="R39" s="9"/>
      <c r="S39" s="9"/>
      <c r="T39" s="9"/>
    </row>
    <row r="40" spans="1:20" x14ac:dyDescent="0.25">
      <c r="A40" s="59" t="s">
        <v>42</v>
      </c>
      <c r="B40" s="57">
        <v>19.3</v>
      </c>
      <c r="C40" s="57">
        <v>19.3</v>
      </c>
      <c r="D40" s="57"/>
      <c r="E40" s="57"/>
      <c r="F40" s="57"/>
      <c r="G40" s="57">
        <v>55</v>
      </c>
      <c r="H40" s="57">
        <v>56</v>
      </c>
      <c r="I40" s="57">
        <v>63</v>
      </c>
      <c r="J40" s="57"/>
      <c r="K40" s="57">
        <v>62</v>
      </c>
      <c r="L40" s="57">
        <v>59</v>
      </c>
      <c r="M40" s="57">
        <v>58</v>
      </c>
      <c r="N40" s="57">
        <v>59.44</v>
      </c>
      <c r="O40" s="57">
        <v>57.08</v>
      </c>
      <c r="P40" s="57">
        <v>55.5</v>
      </c>
      <c r="Q40" s="58">
        <v>56</v>
      </c>
      <c r="R40" s="58">
        <v>56</v>
      </c>
      <c r="S40" s="58">
        <v>57.77</v>
      </c>
      <c r="T40" s="57">
        <v>59.595944642857098</v>
      </c>
    </row>
    <row r="41" spans="1:20" x14ac:dyDescent="0.25">
      <c r="A41" s="59" t="s">
        <v>43</v>
      </c>
      <c r="B41" s="57"/>
      <c r="C41" s="57"/>
      <c r="D41" s="57"/>
      <c r="E41" s="57"/>
      <c r="F41" s="57"/>
      <c r="G41" s="57"/>
      <c r="H41" s="57"/>
      <c r="I41" s="57">
        <v>0</v>
      </c>
      <c r="J41" s="58">
        <v>20</v>
      </c>
      <c r="K41" s="57">
        <v>23</v>
      </c>
      <c r="L41" s="57">
        <v>23</v>
      </c>
      <c r="M41" s="57">
        <v>23</v>
      </c>
      <c r="N41" s="57">
        <v>30.63</v>
      </c>
      <c r="O41" s="57">
        <v>37.46</v>
      </c>
      <c r="P41" s="57">
        <v>40.869999999999997</v>
      </c>
      <c r="Q41" s="58">
        <v>40.869999999999997</v>
      </c>
      <c r="R41" s="58">
        <v>47.629529171579797</v>
      </c>
      <c r="S41" s="58">
        <v>57.77</v>
      </c>
      <c r="T41" s="58">
        <v>59.595944642857098</v>
      </c>
    </row>
    <row r="42" spans="1:20" x14ac:dyDescent="0.25">
      <c r="A42" s="59" t="s">
        <v>44</v>
      </c>
      <c r="B42" s="57"/>
      <c r="C42" s="57"/>
      <c r="D42" s="57"/>
      <c r="E42" s="57"/>
      <c r="F42" s="57"/>
      <c r="G42" s="57"/>
      <c r="H42" s="57"/>
      <c r="I42" s="57"/>
      <c r="J42" s="57"/>
      <c r="K42" s="57">
        <v>0.23</v>
      </c>
      <c r="L42" s="57">
        <v>0.3</v>
      </c>
      <c r="M42" s="57"/>
      <c r="N42" s="57"/>
      <c r="O42" s="57"/>
      <c r="P42" s="57">
        <v>0</v>
      </c>
      <c r="Q42" s="58">
        <v>0</v>
      </c>
      <c r="R42" s="58">
        <v>0.3</v>
      </c>
      <c r="S42" s="58">
        <v>0.3</v>
      </c>
      <c r="T42" s="58">
        <v>0.3</v>
      </c>
    </row>
    <row r="43" spans="1:20" x14ac:dyDescent="0.25">
      <c r="A43" s="59" t="s">
        <v>45</v>
      </c>
      <c r="B43" s="57"/>
      <c r="C43" s="57"/>
      <c r="D43" s="57"/>
      <c r="E43" s="57"/>
      <c r="F43" s="57"/>
      <c r="G43" s="57"/>
      <c r="H43" s="57"/>
      <c r="I43" s="57"/>
      <c r="J43" s="57"/>
      <c r="K43" s="57"/>
      <c r="L43" s="57"/>
      <c r="M43" s="57"/>
      <c r="N43" s="57"/>
      <c r="O43" s="57"/>
      <c r="P43" s="57"/>
      <c r="Q43" s="57"/>
      <c r="R43" s="58">
        <v>0</v>
      </c>
      <c r="S43" s="57"/>
      <c r="T43" s="57"/>
    </row>
    <row r="44" spans="1:20" x14ac:dyDescent="0.25">
      <c r="A44" s="9" t="s">
        <v>191</v>
      </c>
      <c r="B44" s="9"/>
      <c r="C44" s="9"/>
      <c r="D44" s="9"/>
      <c r="E44" s="9"/>
      <c r="F44" s="9"/>
      <c r="G44" s="9"/>
      <c r="H44" s="9"/>
      <c r="I44" s="9"/>
      <c r="J44" s="9"/>
      <c r="K44" s="9"/>
      <c r="L44" s="9"/>
      <c r="M44" s="9"/>
      <c r="N44" s="9"/>
      <c r="O44" s="9"/>
      <c r="P44" s="9"/>
      <c r="Q44" s="9"/>
      <c r="R44" s="9"/>
      <c r="S44" s="9"/>
      <c r="T44" s="9"/>
    </row>
    <row r="45" spans="1:20" x14ac:dyDescent="0.25">
      <c r="A45" s="59" t="s">
        <v>42</v>
      </c>
      <c r="B45" s="57">
        <v>23.8</v>
      </c>
      <c r="C45" s="57">
        <v>24</v>
      </c>
      <c r="D45" s="57"/>
      <c r="E45" s="57"/>
      <c r="F45" s="57"/>
      <c r="G45" s="57">
        <v>25.2</v>
      </c>
      <c r="H45" s="57">
        <v>31.1</v>
      </c>
      <c r="I45" s="57">
        <v>84</v>
      </c>
      <c r="J45" s="57">
        <v>85</v>
      </c>
      <c r="K45" s="57">
        <v>86</v>
      </c>
      <c r="L45" s="57">
        <v>86</v>
      </c>
      <c r="M45" s="57">
        <v>86</v>
      </c>
      <c r="N45" s="57">
        <v>86</v>
      </c>
      <c r="O45" s="57">
        <v>86</v>
      </c>
      <c r="P45" s="57">
        <v>86.1</v>
      </c>
      <c r="Q45" s="57">
        <v>86.1</v>
      </c>
      <c r="R45" s="57">
        <v>86.1</v>
      </c>
      <c r="S45" s="57">
        <v>86.8</v>
      </c>
      <c r="T45" s="57">
        <v>86.9</v>
      </c>
    </row>
    <row r="46" spans="1:20" x14ac:dyDescent="0.25">
      <c r="A46" s="59" t="s">
        <v>43</v>
      </c>
      <c r="B46" s="57"/>
      <c r="C46" s="57"/>
      <c r="D46" s="57"/>
      <c r="E46" s="57"/>
      <c r="F46" s="57"/>
      <c r="G46" s="57"/>
      <c r="H46" s="57"/>
      <c r="I46" s="57"/>
      <c r="J46" s="57"/>
      <c r="K46" s="57">
        <v>11.2</v>
      </c>
      <c r="L46" s="57">
        <v>13</v>
      </c>
      <c r="M46" s="57">
        <v>22.01</v>
      </c>
      <c r="N46" s="57">
        <v>32</v>
      </c>
      <c r="O46" s="57">
        <v>42</v>
      </c>
      <c r="P46" s="57">
        <v>43</v>
      </c>
      <c r="Q46" s="57">
        <v>48</v>
      </c>
      <c r="R46" s="57">
        <v>59</v>
      </c>
      <c r="S46" s="57">
        <v>68</v>
      </c>
      <c r="T46" s="57">
        <v>75.400000000000006</v>
      </c>
    </row>
    <row r="47" spans="1:20" x14ac:dyDescent="0.25">
      <c r="A47" s="59" t="s">
        <v>44</v>
      </c>
      <c r="B47" s="57"/>
      <c r="C47" s="57"/>
      <c r="D47" s="57"/>
      <c r="E47" s="57"/>
      <c r="F47" s="57"/>
      <c r="G47" s="57"/>
      <c r="H47" s="57"/>
      <c r="I47" s="57"/>
      <c r="J47" s="57"/>
      <c r="K47" s="57">
        <v>8.6</v>
      </c>
      <c r="L47" s="57">
        <v>8.6</v>
      </c>
      <c r="M47" s="57">
        <v>8.6</v>
      </c>
      <c r="N47" s="57">
        <v>9</v>
      </c>
      <c r="O47" s="57">
        <v>12</v>
      </c>
      <c r="P47" s="57">
        <v>19.3</v>
      </c>
      <c r="Q47" s="57">
        <v>21.8</v>
      </c>
      <c r="R47" s="57">
        <v>22</v>
      </c>
      <c r="S47" s="57">
        <v>36</v>
      </c>
      <c r="T47" s="57">
        <v>44.3</v>
      </c>
    </row>
    <row r="48" spans="1:20" x14ac:dyDescent="0.25">
      <c r="A48" s="59" t="s">
        <v>45</v>
      </c>
      <c r="B48" s="57"/>
      <c r="C48" s="57"/>
      <c r="D48" s="57"/>
      <c r="E48" s="57"/>
      <c r="F48" s="57"/>
      <c r="G48" s="57"/>
      <c r="H48" s="57"/>
      <c r="I48" s="57"/>
      <c r="J48" s="57"/>
      <c r="K48" s="57"/>
      <c r="L48" s="57"/>
      <c r="M48" s="57"/>
      <c r="N48" s="57"/>
      <c r="O48" s="57">
        <v>0</v>
      </c>
      <c r="P48" s="57">
        <v>0</v>
      </c>
      <c r="Q48" s="57">
        <v>0</v>
      </c>
      <c r="R48" s="57">
        <v>0</v>
      </c>
      <c r="S48" s="57">
        <v>0</v>
      </c>
      <c r="T48" s="57">
        <v>0</v>
      </c>
    </row>
    <row r="49" spans="1:20" x14ac:dyDescent="0.25">
      <c r="A49" s="9" t="s">
        <v>192</v>
      </c>
      <c r="B49" s="9"/>
      <c r="C49" s="9"/>
      <c r="D49" s="9"/>
      <c r="E49" s="9"/>
      <c r="F49" s="9"/>
      <c r="G49" s="9"/>
      <c r="H49" s="9"/>
      <c r="I49" s="9"/>
      <c r="J49" s="9"/>
      <c r="K49" s="9"/>
      <c r="L49" s="9"/>
      <c r="M49" s="9"/>
      <c r="N49" s="9"/>
      <c r="O49" s="9"/>
      <c r="P49" s="9"/>
      <c r="Q49" s="9"/>
      <c r="R49" s="9"/>
      <c r="S49" s="9"/>
      <c r="T49" s="9"/>
    </row>
    <row r="50" spans="1:20" x14ac:dyDescent="0.25">
      <c r="A50" s="59" t="s">
        <v>42</v>
      </c>
      <c r="B50" s="57">
        <v>39</v>
      </c>
      <c r="C50" s="57">
        <v>53</v>
      </c>
      <c r="D50" s="57"/>
      <c r="E50" s="57"/>
      <c r="F50" s="57">
        <v>78</v>
      </c>
      <c r="G50" s="57">
        <v>93</v>
      </c>
      <c r="H50" s="57">
        <v>95</v>
      </c>
      <c r="I50" s="57"/>
      <c r="J50" s="57"/>
      <c r="K50" s="57"/>
      <c r="L50" s="58">
        <v>75</v>
      </c>
      <c r="M50" s="57">
        <v>75</v>
      </c>
      <c r="N50" s="57">
        <v>75</v>
      </c>
      <c r="O50" s="57"/>
      <c r="P50" s="57">
        <v>75</v>
      </c>
      <c r="Q50" s="57">
        <v>75</v>
      </c>
      <c r="R50" s="57">
        <v>88</v>
      </c>
      <c r="S50" s="57">
        <v>88</v>
      </c>
      <c r="T50" s="57">
        <v>89.3</v>
      </c>
    </row>
    <row r="51" spans="1:20" x14ac:dyDescent="0.25">
      <c r="A51" s="59" t="s">
        <v>43</v>
      </c>
      <c r="B51" s="57"/>
      <c r="C51" s="57"/>
      <c r="D51" s="57"/>
      <c r="E51" s="57"/>
      <c r="F51" s="57"/>
      <c r="G51" s="57"/>
      <c r="H51" s="57"/>
      <c r="I51" s="58">
        <v>21.96</v>
      </c>
      <c r="J51" s="58">
        <v>31.72</v>
      </c>
      <c r="K51" s="58">
        <v>50</v>
      </c>
      <c r="L51" s="58">
        <v>50</v>
      </c>
      <c r="M51" s="57">
        <v>64.5</v>
      </c>
      <c r="N51" s="57"/>
      <c r="O51" s="57"/>
      <c r="P51" s="57">
        <v>64.5</v>
      </c>
      <c r="Q51" s="57">
        <v>64.5</v>
      </c>
      <c r="R51" s="57">
        <v>87</v>
      </c>
      <c r="S51" s="57">
        <v>87.01</v>
      </c>
      <c r="T51" s="57">
        <v>83.4</v>
      </c>
    </row>
    <row r="52" spans="1:20" x14ac:dyDescent="0.25">
      <c r="A52" s="59" t="s">
        <v>44</v>
      </c>
      <c r="B52" s="57"/>
      <c r="C52" s="57"/>
      <c r="D52" s="57"/>
      <c r="E52" s="57"/>
      <c r="F52" s="57"/>
      <c r="G52" s="57"/>
      <c r="H52" s="57"/>
      <c r="I52" s="57"/>
      <c r="J52" s="57"/>
      <c r="K52" s="57"/>
      <c r="L52" s="58">
        <v>0</v>
      </c>
      <c r="M52" s="57">
        <v>5</v>
      </c>
      <c r="N52" s="57">
        <v>5</v>
      </c>
      <c r="O52" s="57"/>
      <c r="P52" s="57"/>
      <c r="Q52" s="57"/>
      <c r="R52" s="57">
        <v>85</v>
      </c>
      <c r="S52" s="57">
        <v>87</v>
      </c>
      <c r="T52" s="57">
        <v>77.5</v>
      </c>
    </row>
    <row r="53" spans="1:20" x14ac:dyDescent="0.25">
      <c r="A53" s="59" t="s">
        <v>45</v>
      </c>
      <c r="B53" s="57"/>
      <c r="C53" s="57"/>
      <c r="D53" s="57"/>
      <c r="E53" s="57"/>
      <c r="F53" s="57"/>
      <c r="G53" s="57"/>
      <c r="H53" s="57"/>
      <c r="I53" s="57"/>
      <c r="J53" s="57"/>
      <c r="K53" s="57"/>
      <c r="L53" s="57"/>
      <c r="M53" s="57"/>
      <c r="N53" s="57"/>
      <c r="O53" s="57"/>
      <c r="P53" s="57"/>
      <c r="Q53" s="57"/>
      <c r="R53" s="57">
        <v>0</v>
      </c>
      <c r="S53" s="57">
        <v>0</v>
      </c>
      <c r="T53" s="57">
        <v>0</v>
      </c>
    </row>
    <row r="54" spans="1:20" x14ac:dyDescent="0.25">
      <c r="A54" s="9" t="s">
        <v>193</v>
      </c>
      <c r="B54" s="9"/>
      <c r="C54" s="9"/>
      <c r="D54" s="9"/>
      <c r="E54" s="9"/>
      <c r="F54" s="9"/>
      <c r="G54" s="9"/>
      <c r="H54" s="9"/>
      <c r="I54" s="9"/>
      <c r="J54" s="9"/>
      <c r="K54" s="9"/>
      <c r="L54" s="9"/>
      <c r="M54" s="9"/>
      <c r="N54" s="9"/>
      <c r="O54" s="9"/>
      <c r="P54" s="9"/>
      <c r="Q54" s="9"/>
      <c r="R54" s="9"/>
      <c r="S54" s="9"/>
      <c r="T54" s="9"/>
    </row>
    <row r="55" spans="1:20" x14ac:dyDescent="0.25">
      <c r="A55" s="59" t="s">
        <v>42</v>
      </c>
      <c r="B55" s="57">
        <v>55</v>
      </c>
      <c r="C55" s="57">
        <v>59</v>
      </c>
      <c r="D55" s="57"/>
      <c r="E55" s="57">
        <v>84.9</v>
      </c>
      <c r="F55" s="57">
        <v>92.2</v>
      </c>
      <c r="G55" s="57">
        <v>92.1</v>
      </c>
      <c r="H55" s="57">
        <v>92.1</v>
      </c>
      <c r="I55" s="57">
        <v>94.5</v>
      </c>
      <c r="J55" s="57">
        <v>97.9</v>
      </c>
      <c r="K55" s="57">
        <v>97.94</v>
      </c>
      <c r="L55" s="57">
        <v>97.94</v>
      </c>
      <c r="M55" s="57">
        <v>95</v>
      </c>
      <c r="N55" s="57">
        <v>95.7</v>
      </c>
      <c r="O55" s="57">
        <v>97.12</v>
      </c>
      <c r="P55" s="57">
        <v>97.54</v>
      </c>
      <c r="Q55" s="57">
        <v>97.6</v>
      </c>
      <c r="R55" s="57">
        <v>97.7</v>
      </c>
      <c r="S55" s="57">
        <v>97.8</v>
      </c>
      <c r="T55" s="57">
        <v>98.7</v>
      </c>
    </row>
    <row r="56" spans="1:20" x14ac:dyDescent="0.25">
      <c r="A56" s="59" t="s">
        <v>43</v>
      </c>
      <c r="B56" s="57"/>
      <c r="C56" s="57"/>
      <c r="D56" s="57"/>
      <c r="E56" s="57"/>
      <c r="F56" s="57">
        <v>0</v>
      </c>
      <c r="G56" s="57">
        <v>0</v>
      </c>
      <c r="H56" s="57">
        <v>0</v>
      </c>
      <c r="I56" s="58">
        <v>35</v>
      </c>
      <c r="J56" s="57"/>
      <c r="K56" s="57">
        <v>43.56</v>
      </c>
      <c r="L56" s="57">
        <v>45.75</v>
      </c>
      <c r="M56" s="57">
        <v>56.25</v>
      </c>
      <c r="N56" s="57">
        <v>67</v>
      </c>
      <c r="O56" s="57">
        <v>72.900000000000006</v>
      </c>
      <c r="P56" s="57">
        <v>94.2</v>
      </c>
      <c r="Q56" s="57">
        <v>94.6</v>
      </c>
      <c r="R56" s="57">
        <v>96.36</v>
      </c>
      <c r="S56" s="57">
        <v>97.2</v>
      </c>
      <c r="T56" s="57">
        <v>98.1</v>
      </c>
    </row>
    <row r="57" spans="1:20" x14ac:dyDescent="0.25">
      <c r="A57" s="59" t="s">
        <v>44</v>
      </c>
      <c r="B57" s="57"/>
      <c r="C57" s="57"/>
      <c r="D57" s="57"/>
      <c r="E57" s="57"/>
      <c r="F57" s="57"/>
      <c r="G57" s="57"/>
      <c r="H57" s="57"/>
      <c r="I57" s="57"/>
      <c r="J57" s="57"/>
      <c r="K57" s="57">
        <v>27.27</v>
      </c>
      <c r="L57" s="57">
        <v>28</v>
      </c>
      <c r="M57" s="57">
        <v>34</v>
      </c>
      <c r="N57" s="57">
        <v>47</v>
      </c>
      <c r="O57" s="57">
        <v>55</v>
      </c>
      <c r="P57" s="57">
        <v>58.51</v>
      </c>
      <c r="Q57" s="57">
        <v>60</v>
      </c>
      <c r="R57" s="57">
        <v>64.52</v>
      </c>
      <c r="S57" s="57">
        <v>91.1</v>
      </c>
      <c r="T57" s="57">
        <v>91.5</v>
      </c>
    </row>
    <row r="58" spans="1:20" x14ac:dyDescent="0.25">
      <c r="A58" s="59" t="s">
        <v>45</v>
      </c>
      <c r="B58" s="57"/>
      <c r="C58" s="57"/>
      <c r="D58" s="57"/>
      <c r="E58" s="57"/>
      <c r="F58" s="57"/>
      <c r="G58" s="57"/>
      <c r="H58" s="57"/>
      <c r="I58" s="57"/>
      <c r="J58" s="57"/>
      <c r="K58" s="57"/>
      <c r="L58" s="57"/>
      <c r="M58" s="57"/>
      <c r="N58" s="57"/>
      <c r="O58" s="57">
        <v>0</v>
      </c>
      <c r="P58" s="57">
        <v>0</v>
      </c>
      <c r="Q58" s="57">
        <v>0</v>
      </c>
      <c r="R58" s="57">
        <v>0</v>
      </c>
      <c r="S58" s="57">
        <v>0</v>
      </c>
      <c r="T58" s="57">
        <v>0</v>
      </c>
    </row>
    <row r="59" spans="1:20" x14ac:dyDescent="0.25">
      <c r="A59" s="9" t="s">
        <v>249</v>
      </c>
      <c r="B59" s="9"/>
      <c r="C59" s="9"/>
      <c r="D59" s="9"/>
      <c r="E59" s="9"/>
      <c r="F59" s="9"/>
      <c r="G59" s="9"/>
      <c r="H59" s="9"/>
      <c r="I59" s="9"/>
      <c r="J59" s="9"/>
      <c r="K59" s="9"/>
      <c r="L59" s="9"/>
      <c r="M59" s="9"/>
      <c r="N59" s="9"/>
      <c r="O59" s="9"/>
      <c r="P59" s="9"/>
      <c r="Q59" s="9"/>
      <c r="R59" s="9"/>
      <c r="S59" s="9"/>
      <c r="T59" s="9"/>
    </row>
    <row r="60" spans="1:20" x14ac:dyDescent="0.25">
      <c r="A60" s="59" t="s">
        <v>42</v>
      </c>
      <c r="B60" s="57">
        <v>50</v>
      </c>
      <c r="C60" s="57">
        <v>50</v>
      </c>
      <c r="D60" s="57">
        <v>50</v>
      </c>
      <c r="E60" s="57">
        <v>50</v>
      </c>
      <c r="F60" s="57">
        <v>50</v>
      </c>
      <c r="G60" s="57">
        <v>50</v>
      </c>
      <c r="H60" s="57">
        <v>50</v>
      </c>
      <c r="I60" s="57">
        <v>50</v>
      </c>
      <c r="J60" s="57">
        <v>50</v>
      </c>
      <c r="K60" s="57">
        <v>50</v>
      </c>
      <c r="L60" s="57">
        <v>50</v>
      </c>
      <c r="M60" s="57">
        <v>50</v>
      </c>
      <c r="N60" s="57">
        <v>50</v>
      </c>
      <c r="O60" s="57">
        <v>52</v>
      </c>
      <c r="P60" s="57">
        <v>54</v>
      </c>
      <c r="Q60" s="57">
        <v>70</v>
      </c>
      <c r="R60" s="57">
        <v>73</v>
      </c>
      <c r="S60" s="57">
        <v>75</v>
      </c>
      <c r="T60" s="57">
        <v>75</v>
      </c>
    </row>
    <row r="61" spans="1:20" x14ac:dyDescent="0.25">
      <c r="A61" s="59" t="s">
        <v>43</v>
      </c>
      <c r="B61" s="57"/>
      <c r="C61" s="57"/>
      <c r="D61" s="57"/>
      <c r="E61" s="57"/>
      <c r="F61" s="57">
        <v>0</v>
      </c>
      <c r="G61" s="57">
        <v>0</v>
      </c>
      <c r="H61" s="57">
        <v>0</v>
      </c>
      <c r="I61" s="57">
        <v>20</v>
      </c>
      <c r="J61" s="57">
        <v>20</v>
      </c>
      <c r="K61" s="57">
        <v>20</v>
      </c>
      <c r="L61" s="57">
        <v>20</v>
      </c>
      <c r="M61" s="57">
        <v>20</v>
      </c>
      <c r="N61" s="57">
        <v>40</v>
      </c>
      <c r="O61" s="57">
        <v>50</v>
      </c>
      <c r="P61" s="57">
        <v>54</v>
      </c>
      <c r="Q61" s="57">
        <v>54</v>
      </c>
      <c r="R61" s="57">
        <v>55</v>
      </c>
      <c r="S61" s="57">
        <v>55</v>
      </c>
      <c r="T61" s="57">
        <v>55</v>
      </c>
    </row>
    <row r="62" spans="1:20" x14ac:dyDescent="0.25">
      <c r="A62" s="59" t="s">
        <v>44</v>
      </c>
      <c r="B62" s="57"/>
      <c r="C62" s="57"/>
      <c r="D62" s="57"/>
      <c r="E62" s="57"/>
      <c r="F62" s="57"/>
      <c r="G62" s="57"/>
      <c r="H62" s="57"/>
      <c r="I62" s="57"/>
      <c r="J62" s="57"/>
      <c r="K62" s="58">
        <v>0</v>
      </c>
      <c r="L62" s="58">
        <v>0</v>
      </c>
      <c r="M62" s="57">
        <v>0</v>
      </c>
      <c r="N62" s="57">
        <v>0</v>
      </c>
      <c r="O62" s="57">
        <v>0</v>
      </c>
      <c r="P62" s="57"/>
      <c r="Q62" s="57">
        <v>40</v>
      </c>
      <c r="R62" s="57">
        <v>40</v>
      </c>
      <c r="S62" s="57">
        <v>45</v>
      </c>
      <c r="T62" s="57">
        <v>45</v>
      </c>
    </row>
    <row r="63" spans="1:20" x14ac:dyDescent="0.25">
      <c r="A63" s="59" t="s">
        <v>45</v>
      </c>
      <c r="B63" s="57"/>
      <c r="C63" s="57"/>
      <c r="D63" s="57"/>
      <c r="E63" s="57"/>
      <c r="F63" s="57"/>
      <c r="G63" s="57"/>
      <c r="H63" s="57"/>
      <c r="I63" s="57"/>
      <c r="J63" s="57"/>
      <c r="K63" s="57"/>
      <c r="L63" s="57"/>
      <c r="M63" s="57"/>
      <c r="N63" s="57"/>
      <c r="O63" s="57"/>
      <c r="P63" s="57"/>
      <c r="Q63" s="57"/>
      <c r="R63" s="57">
        <v>0</v>
      </c>
      <c r="S63" s="57"/>
      <c r="T63" s="57"/>
    </row>
    <row r="64" spans="1:20" x14ac:dyDescent="0.25">
      <c r="A64" s="9" t="s">
        <v>194</v>
      </c>
      <c r="B64" s="9"/>
      <c r="C64" s="9"/>
      <c r="D64" s="9"/>
      <c r="E64" s="9"/>
      <c r="F64" s="9"/>
      <c r="G64" s="9"/>
      <c r="H64" s="9"/>
      <c r="I64" s="9"/>
      <c r="J64" s="9"/>
      <c r="K64" s="9"/>
      <c r="L64" s="9"/>
      <c r="M64" s="9"/>
      <c r="N64" s="9"/>
      <c r="O64" s="9"/>
      <c r="P64" s="9"/>
      <c r="Q64" s="9"/>
      <c r="R64" s="9"/>
      <c r="S64" s="9"/>
      <c r="T64" s="9"/>
    </row>
    <row r="65" spans="1:20" x14ac:dyDescent="0.25">
      <c r="A65" s="59" t="s">
        <v>42</v>
      </c>
      <c r="B65" s="57"/>
      <c r="C65" s="57"/>
      <c r="D65" s="57"/>
      <c r="E65" s="57"/>
      <c r="F65" s="57"/>
      <c r="G65" s="57"/>
      <c r="H65" s="57"/>
      <c r="I65" s="57"/>
      <c r="J65" s="57"/>
      <c r="K65" s="57"/>
      <c r="L65" s="58">
        <v>70</v>
      </c>
      <c r="M65" s="58">
        <v>70</v>
      </c>
      <c r="N65" s="57">
        <v>70</v>
      </c>
      <c r="O65" s="57">
        <v>70</v>
      </c>
      <c r="P65" s="58">
        <v>70</v>
      </c>
      <c r="Q65" s="57">
        <v>70</v>
      </c>
      <c r="R65" s="57">
        <v>80</v>
      </c>
      <c r="S65" s="57">
        <v>80</v>
      </c>
      <c r="T65" s="57"/>
    </row>
    <row r="66" spans="1:20" x14ac:dyDescent="0.25">
      <c r="A66" s="59" t="s">
        <v>43</v>
      </c>
      <c r="B66" s="57"/>
      <c r="C66" s="57"/>
      <c r="D66" s="57"/>
      <c r="E66" s="57"/>
      <c r="F66" s="57"/>
      <c r="G66" s="57"/>
      <c r="H66" s="57"/>
      <c r="I66" s="57"/>
      <c r="J66" s="57"/>
      <c r="K66" s="57"/>
      <c r="L66" s="58">
        <v>0</v>
      </c>
      <c r="M66" s="58">
        <v>10.95</v>
      </c>
      <c r="N66" s="57">
        <v>50</v>
      </c>
      <c r="O66" s="57">
        <v>60</v>
      </c>
      <c r="P66" s="58">
        <v>60</v>
      </c>
      <c r="Q66" s="57">
        <v>60</v>
      </c>
      <c r="R66" s="57">
        <v>65</v>
      </c>
      <c r="S66" s="57">
        <v>65</v>
      </c>
      <c r="T66" s="58">
        <v>72</v>
      </c>
    </row>
    <row r="67" spans="1:20" x14ac:dyDescent="0.25">
      <c r="A67" s="59" t="s">
        <v>44</v>
      </c>
      <c r="B67" s="57"/>
      <c r="C67" s="57"/>
      <c r="D67" s="57"/>
      <c r="E67" s="57"/>
      <c r="F67" s="57"/>
      <c r="G67" s="57"/>
      <c r="H67" s="57"/>
      <c r="I67" s="57"/>
      <c r="J67" s="57"/>
      <c r="K67" s="57"/>
      <c r="L67" s="58">
        <v>0</v>
      </c>
      <c r="M67" s="58">
        <v>0</v>
      </c>
      <c r="N67" s="58">
        <v>0</v>
      </c>
      <c r="O67" s="57"/>
      <c r="P67" s="57"/>
      <c r="Q67" s="57"/>
      <c r="R67" s="57">
        <v>65</v>
      </c>
      <c r="S67" s="57">
        <v>65</v>
      </c>
      <c r="T67" s="58">
        <v>65</v>
      </c>
    </row>
    <row r="68" spans="1:20" x14ac:dyDescent="0.25">
      <c r="A68" s="59" t="s">
        <v>45</v>
      </c>
      <c r="B68" s="57"/>
      <c r="C68" s="57"/>
      <c r="D68" s="57"/>
      <c r="E68" s="57"/>
      <c r="F68" s="57"/>
      <c r="G68" s="57"/>
      <c r="H68" s="57"/>
      <c r="I68" s="57"/>
      <c r="J68" s="57"/>
      <c r="K68" s="57"/>
      <c r="L68" s="57"/>
      <c r="M68" s="57"/>
      <c r="N68" s="57"/>
      <c r="O68" s="57"/>
      <c r="P68" s="57"/>
      <c r="Q68" s="57"/>
      <c r="R68" s="57">
        <v>0</v>
      </c>
      <c r="S68" s="57">
        <v>0</v>
      </c>
      <c r="T68" s="57"/>
    </row>
    <row r="69" spans="1:20" x14ac:dyDescent="0.25">
      <c r="A69" s="9" t="s">
        <v>195</v>
      </c>
      <c r="B69" s="9"/>
      <c r="C69" s="9"/>
      <c r="D69" s="9"/>
      <c r="E69" s="9"/>
      <c r="F69" s="9"/>
      <c r="G69" s="9"/>
      <c r="H69" s="9"/>
      <c r="I69" s="9"/>
      <c r="J69" s="9"/>
      <c r="K69" s="9"/>
      <c r="L69" s="9"/>
      <c r="M69" s="9"/>
      <c r="N69" s="9"/>
      <c r="O69" s="9"/>
      <c r="P69" s="9"/>
      <c r="Q69" s="9"/>
      <c r="R69" s="9"/>
      <c r="S69" s="9"/>
      <c r="T69" s="9"/>
    </row>
    <row r="70" spans="1:20" x14ac:dyDescent="0.25">
      <c r="A70" s="59" t="s">
        <v>42</v>
      </c>
      <c r="B70" s="57"/>
      <c r="C70" s="57">
        <v>1.25</v>
      </c>
      <c r="D70" s="57">
        <v>1.65</v>
      </c>
      <c r="E70" s="57">
        <v>79.55</v>
      </c>
      <c r="F70" s="57">
        <v>80</v>
      </c>
      <c r="G70" s="57">
        <v>83</v>
      </c>
      <c r="H70" s="57">
        <v>85</v>
      </c>
      <c r="I70" s="57">
        <v>85</v>
      </c>
      <c r="J70" s="57">
        <v>92</v>
      </c>
      <c r="K70" s="57"/>
      <c r="L70" s="58">
        <v>85</v>
      </c>
      <c r="M70" s="58">
        <v>85</v>
      </c>
      <c r="N70" s="58">
        <v>85</v>
      </c>
      <c r="O70" s="57"/>
      <c r="P70" s="58">
        <v>85</v>
      </c>
      <c r="Q70" s="58">
        <v>85</v>
      </c>
      <c r="R70" s="58">
        <v>85</v>
      </c>
      <c r="S70" s="58">
        <v>86</v>
      </c>
      <c r="T70" s="57"/>
    </row>
    <row r="71" spans="1:20" x14ac:dyDescent="0.25">
      <c r="A71" s="59" t="s">
        <v>43</v>
      </c>
      <c r="B71" s="57"/>
      <c r="C71" s="57"/>
      <c r="D71" s="57"/>
      <c r="E71" s="57"/>
      <c r="F71" s="57"/>
      <c r="G71" s="57"/>
      <c r="H71" s="57"/>
      <c r="I71" s="57"/>
      <c r="J71" s="57"/>
      <c r="K71" s="57"/>
      <c r="L71" s="58">
        <v>0</v>
      </c>
      <c r="M71" s="58">
        <v>0</v>
      </c>
      <c r="N71" s="58">
        <v>0</v>
      </c>
      <c r="O71" s="57"/>
      <c r="P71" s="57"/>
      <c r="Q71" s="57"/>
      <c r="R71" s="58">
        <v>35</v>
      </c>
      <c r="S71" s="58">
        <v>40</v>
      </c>
      <c r="T71" s="58">
        <v>58.496909913299902</v>
      </c>
    </row>
    <row r="72" spans="1:20" x14ac:dyDescent="0.25">
      <c r="A72" s="59" t="s">
        <v>44</v>
      </c>
      <c r="B72" s="57"/>
      <c r="C72" s="57"/>
      <c r="D72" s="57"/>
      <c r="E72" s="57"/>
      <c r="F72" s="57"/>
      <c r="G72" s="57"/>
      <c r="H72" s="57"/>
      <c r="I72" s="57"/>
      <c r="J72" s="57"/>
      <c r="K72" s="58">
        <v>0</v>
      </c>
      <c r="L72" s="58">
        <v>0</v>
      </c>
      <c r="M72" s="58">
        <v>0</v>
      </c>
      <c r="N72" s="58">
        <v>0</v>
      </c>
      <c r="O72" s="57"/>
      <c r="P72" s="57"/>
      <c r="Q72" s="57"/>
      <c r="R72" s="58">
        <v>0</v>
      </c>
      <c r="S72" s="58">
        <v>0</v>
      </c>
      <c r="T72" s="58">
        <v>0</v>
      </c>
    </row>
    <row r="73" spans="1:20" x14ac:dyDescent="0.25">
      <c r="A73" s="59" t="s">
        <v>45</v>
      </c>
      <c r="B73" s="57"/>
      <c r="C73" s="57"/>
      <c r="D73" s="57"/>
      <c r="E73" s="57"/>
      <c r="F73" s="57"/>
      <c r="G73" s="57"/>
      <c r="H73" s="57"/>
      <c r="I73" s="57"/>
      <c r="J73" s="57"/>
      <c r="K73" s="57"/>
      <c r="L73" s="57"/>
      <c r="M73" s="57"/>
      <c r="N73" s="57"/>
      <c r="O73" s="57"/>
      <c r="P73" s="57"/>
      <c r="Q73" s="57"/>
      <c r="R73" s="58">
        <v>0</v>
      </c>
      <c r="S73" s="57"/>
      <c r="T73" s="57"/>
    </row>
    <row r="74" spans="1:20" x14ac:dyDescent="0.25">
      <c r="A74" s="9" t="s">
        <v>196</v>
      </c>
      <c r="B74" s="9"/>
      <c r="C74" s="9"/>
      <c r="D74" s="9"/>
      <c r="E74" s="9"/>
      <c r="F74" s="9"/>
      <c r="G74" s="9"/>
      <c r="H74" s="9"/>
      <c r="I74" s="9"/>
      <c r="J74" s="9"/>
      <c r="K74" s="9"/>
      <c r="L74" s="9"/>
      <c r="M74" s="9"/>
      <c r="N74" s="9"/>
      <c r="O74" s="9"/>
      <c r="P74" s="9"/>
      <c r="Q74" s="9"/>
      <c r="R74" s="9"/>
      <c r="S74" s="9"/>
      <c r="T74" s="9"/>
    </row>
    <row r="75" spans="1:20" x14ac:dyDescent="0.25">
      <c r="A75" s="59" t="s">
        <v>42</v>
      </c>
      <c r="B75" s="57"/>
      <c r="C75" s="57">
        <v>90</v>
      </c>
      <c r="D75" s="57"/>
      <c r="E75" s="57">
        <v>91</v>
      </c>
      <c r="F75" s="57">
        <v>90</v>
      </c>
      <c r="G75" s="57">
        <v>92</v>
      </c>
      <c r="H75" s="57">
        <v>94.9</v>
      </c>
      <c r="I75" s="57">
        <v>96.8</v>
      </c>
      <c r="J75" s="57"/>
      <c r="K75" s="57"/>
      <c r="L75" s="57"/>
      <c r="M75" s="57"/>
      <c r="N75" s="57">
        <v>95</v>
      </c>
      <c r="O75" s="57">
        <v>98</v>
      </c>
      <c r="P75" s="57">
        <v>99</v>
      </c>
      <c r="Q75" s="57">
        <v>99</v>
      </c>
      <c r="R75" s="57">
        <v>99.1</v>
      </c>
      <c r="S75" s="57">
        <v>99.1</v>
      </c>
      <c r="T75" s="57">
        <v>99.1</v>
      </c>
    </row>
    <row r="76" spans="1:20" x14ac:dyDescent="0.25">
      <c r="A76" s="59" t="s">
        <v>43</v>
      </c>
      <c r="B76" s="57"/>
      <c r="C76" s="57"/>
      <c r="D76" s="57"/>
      <c r="E76" s="57"/>
      <c r="F76" s="57">
        <v>0</v>
      </c>
      <c r="G76" s="57">
        <v>0</v>
      </c>
      <c r="H76" s="57"/>
      <c r="I76" s="57"/>
      <c r="J76" s="57"/>
      <c r="K76" s="58">
        <v>21</v>
      </c>
      <c r="L76" s="58">
        <v>21</v>
      </c>
      <c r="M76" s="58">
        <v>21.21</v>
      </c>
      <c r="N76" s="57">
        <v>88</v>
      </c>
      <c r="O76" s="57">
        <v>88</v>
      </c>
      <c r="P76" s="57">
        <v>88</v>
      </c>
      <c r="Q76" s="57">
        <v>88</v>
      </c>
      <c r="R76" s="57">
        <v>99.1</v>
      </c>
      <c r="S76" s="57">
        <v>99.1</v>
      </c>
      <c r="T76" s="57">
        <v>99.1</v>
      </c>
    </row>
    <row r="77" spans="1:20" x14ac:dyDescent="0.25">
      <c r="A77" s="59" t="s">
        <v>44</v>
      </c>
      <c r="B77" s="57"/>
      <c r="C77" s="57"/>
      <c r="D77" s="57"/>
      <c r="E77" s="57"/>
      <c r="F77" s="57"/>
      <c r="G77" s="57"/>
      <c r="H77" s="57"/>
      <c r="I77" s="57"/>
      <c r="J77" s="57"/>
      <c r="K77" s="58">
        <v>0</v>
      </c>
      <c r="L77" s="58">
        <v>0</v>
      </c>
      <c r="M77" s="58">
        <v>21</v>
      </c>
      <c r="N77" s="57">
        <v>30</v>
      </c>
      <c r="O77" s="57">
        <v>37</v>
      </c>
      <c r="P77" s="57">
        <v>39</v>
      </c>
      <c r="Q77" s="57">
        <v>61</v>
      </c>
      <c r="R77" s="57">
        <v>80.400000000000006</v>
      </c>
      <c r="S77" s="57">
        <v>81</v>
      </c>
      <c r="T77" s="57">
        <v>87</v>
      </c>
    </row>
    <row r="78" spans="1:20" x14ac:dyDescent="0.25">
      <c r="A78" s="59" t="s">
        <v>45</v>
      </c>
      <c r="B78" s="57"/>
      <c r="C78" s="57"/>
      <c r="D78" s="57"/>
      <c r="E78" s="57"/>
      <c r="F78" s="57"/>
      <c r="G78" s="57"/>
      <c r="H78" s="57"/>
      <c r="I78" s="57"/>
      <c r="J78" s="57"/>
      <c r="K78" s="57"/>
      <c r="L78" s="57"/>
      <c r="M78" s="57"/>
      <c r="N78" s="57"/>
      <c r="O78" s="57"/>
      <c r="P78" s="57"/>
      <c r="Q78" s="57"/>
      <c r="R78" s="57">
        <v>0</v>
      </c>
      <c r="S78" s="57">
        <v>0</v>
      </c>
      <c r="T78" s="57">
        <v>0</v>
      </c>
    </row>
    <row r="79" spans="1:20" x14ac:dyDescent="0.25">
      <c r="A79" s="9" t="s">
        <v>197</v>
      </c>
      <c r="B79" s="9"/>
      <c r="C79" s="9"/>
      <c r="D79" s="9"/>
      <c r="E79" s="9"/>
      <c r="F79" s="9"/>
      <c r="G79" s="9"/>
      <c r="H79" s="9"/>
      <c r="I79" s="9"/>
      <c r="J79" s="9"/>
      <c r="K79" s="9"/>
      <c r="L79" s="9"/>
      <c r="M79" s="9"/>
      <c r="N79" s="9"/>
      <c r="O79" s="9"/>
      <c r="P79" s="9"/>
      <c r="Q79" s="9"/>
      <c r="R79" s="9"/>
      <c r="S79" s="9"/>
      <c r="T79" s="9"/>
    </row>
    <row r="80" spans="1:20" x14ac:dyDescent="0.25">
      <c r="A80" s="59" t="s">
        <v>42</v>
      </c>
      <c r="B80" s="57">
        <v>10</v>
      </c>
      <c r="C80" s="57">
        <v>10</v>
      </c>
      <c r="D80" s="57"/>
      <c r="E80" s="57"/>
      <c r="F80" s="57"/>
      <c r="G80" s="57"/>
      <c r="H80" s="57"/>
      <c r="I80" s="57">
        <v>73</v>
      </c>
      <c r="J80" s="57"/>
      <c r="K80" s="57">
        <v>90</v>
      </c>
      <c r="L80" s="57">
        <v>95</v>
      </c>
      <c r="M80" s="57">
        <v>97</v>
      </c>
      <c r="N80" s="57">
        <v>97</v>
      </c>
      <c r="O80" s="57"/>
      <c r="P80" s="58">
        <v>97</v>
      </c>
      <c r="Q80" s="57">
        <v>97</v>
      </c>
      <c r="R80" s="57">
        <v>97</v>
      </c>
      <c r="S80" s="57">
        <v>99.1</v>
      </c>
      <c r="T80" s="57"/>
    </row>
    <row r="81" spans="1:20" x14ac:dyDescent="0.25">
      <c r="A81" s="59" t="s">
        <v>43</v>
      </c>
      <c r="B81" s="57"/>
      <c r="C81" s="57"/>
      <c r="D81" s="57"/>
      <c r="E81" s="57"/>
      <c r="F81" s="57"/>
      <c r="G81" s="57"/>
      <c r="H81" s="57">
        <v>4</v>
      </c>
      <c r="I81" s="57">
        <v>4</v>
      </c>
      <c r="J81" s="58">
        <v>17.54</v>
      </c>
      <c r="K81" s="57">
        <v>65</v>
      </c>
      <c r="L81" s="57">
        <v>71</v>
      </c>
      <c r="M81" s="57">
        <v>85</v>
      </c>
      <c r="N81" s="57">
        <v>85</v>
      </c>
      <c r="O81" s="57"/>
      <c r="P81" s="58">
        <v>85</v>
      </c>
      <c r="Q81" s="57">
        <v>85</v>
      </c>
      <c r="R81" s="57">
        <v>85</v>
      </c>
      <c r="S81" s="57">
        <v>98.53</v>
      </c>
      <c r="T81" s="57">
        <v>98.53</v>
      </c>
    </row>
    <row r="82" spans="1:20" x14ac:dyDescent="0.25">
      <c r="A82" s="59" t="s">
        <v>44</v>
      </c>
      <c r="B82" s="57"/>
      <c r="C82" s="57"/>
      <c r="D82" s="57"/>
      <c r="E82" s="57"/>
      <c r="F82" s="57"/>
      <c r="G82" s="57"/>
      <c r="H82" s="57"/>
      <c r="I82" s="57"/>
      <c r="J82" s="57"/>
      <c r="K82" s="57">
        <v>10</v>
      </c>
      <c r="L82" s="57">
        <v>10</v>
      </c>
      <c r="M82" s="57">
        <v>10</v>
      </c>
      <c r="N82" s="57">
        <v>7</v>
      </c>
      <c r="O82" s="57"/>
      <c r="P82" s="58">
        <v>7</v>
      </c>
      <c r="Q82" s="57">
        <v>7</v>
      </c>
      <c r="R82" s="57">
        <v>10</v>
      </c>
      <c r="S82" s="57">
        <v>33</v>
      </c>
      <c r="T82" s="57">
        <v>35</v>
      </c>
    </row>
    <row r="83" spans="1:20" x14ac:dyDescent="0.25">
      <c r="A83" s="59" t="s">
        <v>45</v>
      </c>
      <c r="B83" s="57"/>
      <c r="C83" s="57"/>
      <c r="D83" s="57"/>
      <c r="E83" s="57"/>
      <c r="F83" s="57"/>
      <c r="G83" s="57"/>
      <c r="H83" s="57"/>
      <c r="I83" s="57"/>
      <c r="J83" s="57"/>
      <c r="K83" s="57"/>
      <c r="L83" s="57"/>
      <c r="M83" s="57"/>
      <c r="N83" s="57"/>
      <c r="O83" s="57"/>
      <c r="P83" s="57"/>
      <c r="Q83" s="57"/>
      <c r="R83" s="57"/>
      <c r="S83" s="57">
        <v>0</v>
      </c>
      <c r="T83" s="57"/>
    </row>
    <row r="84" spans="1:20" x14ac:dyDescent="0.25">
      <c r="A84" s="9" t="s">
        <v>198</v>
      </c>
      <c r="B84" s="9"/>
      <c r="C84" s="9"/>
      <c r="D84" s="9"/>
      <c r="E84" s="9"/>
      <c r="F84" s="9"/>
      <c r="G84" s="9"/>
      <c r="H84" s="9"/>
      <c r="I84" s="9"/>
      <c r="J84" s="9"/>
      <c r="K84" s="9"/>
      <c r="L84" s="9"/>
      <c r="M84" s="9"/>
      <c r="N84" s="9"/>
      <c r="O84" s="9"/>
      <c r="P84" s="9"/>
      <c r="Q84" s="9"/>
      <c r="R84" s="9"/>
      <c r="S84" s="9"/>
      <c r="T84" s="9"/>
    </row>
    <row r="85" spans="1:20" x14ac:dyDescent="0.25">
      <c r="A85" s="59" t="s">
        <v>42</v>
      </c>
      <c r="B85" s="57">
        <v>78</v>
      </c>
      <c r="C85" s="57">
        <v>78</v>
      </c>
      <c r="D85" s="57">
        <v>79</v>
      </c>
      <c r="E85" s="57"/>
      <c r="F85" s="57"/>
      <c r="G85" s="57"/>
      <c r="H85" s="57"/>
      <c r="I85" s="57"/>
      <c r="J85" s="57"/>
      <c r="K85" s="57">
        <v>93</v>
      </c>
      <c r="L85" s="57">
        <v>97</v>
      </c>
      <c r="M85" s="57">
        <v>98</v>
      </c>
      <c r="N85" s="57">
        <v>98</v>
      </c>
      <c r="O85" s="57">
        <v>99</v>
      </c>
      <c r="P85" s="57">
        <v>99</v>
      </c>
      <c r="Q85" s="57">
        <v>99</v>
      </c>
      <c r="R85" s="57">
        <v>99</v>
      </c>
      <c r="S85" s="57">
        <v>99</v>
      </c>
      <c r="T85" s="57">
        <v>99</v>
      </c>
    </row>
    <row r="86" spans="1:20" x14ac:dyDescent="0.25">
      <c r="A86" s="59" t="s">
        <v>43</v>
      </c>
      <c r="B86" s="57"/>
      <c r="C86" s="57"/>
      <c r="D86" s="57"/>
      <c r="E86" s="57"/>
      <c r="F86" s="57"/>
      <c r="G86" s="57"/>
      <c r="H86" s="57"/>
      <c r="I86" s="57"/>
      <c r="J86" s="57"/>
      <c r="K86" s="57">
        <v>75</v>
      </c>
      <c r="L86" s="57">
        <v>97</v>
      </c>
      <c r="M86" s="57">
        <v>92</v>
      </c>
      <c r="N86" s="57">
        <v>95</v>
      </c>
      <c r="O86" s="57">
        <v>97</v>
      </c>
      <c r="P86" s="57">
        <v>97</v>
      </c>
      <c r="Q86" s="57">
        <v>98</v>
      </c>
      <c r="R86" s="57">
        <v>98</v>
      </c>
      <c r="S86" s="57">
        <v>98</v>
      </c>
      <c r="T86" s="57">
        <v>98</v>
      </c>
    </row>
    <row r="87" spans="1:20" x14ac:dyDescent="0.25">
      <c r="A87" s="59" t="s">
        <v>44</v>
      </c>
      <c r="B87" s="57"/>
      <c r="C87" s="57"/>
      <c r="D87" s="57"/>
      <c r="E87" s="57"/>
      <c r="F87" s="57"/>
      <c r="G87" s="57"/>
      <c r="H87" s="57"/>
      <c r="I87" s="57"/>
      <c r="J87" s="57"/>
      <c r="K87" s="58">
        <v>10</v>
      </c>
      <c r="L87" s="57">
        <v>78</v>
      </c>
      <c r="M87" s="57">
        <v>83</v>
      </c>
      <c r="N87" s="57">
        <v>95</v>
      </c>
      <c r="O87" s="57">
        <v>97</v>
      </c>
      <c r="P87" s="57">
        <v>97</v>
      </c>
      <c r="Q87" s="57">
        <v>98</v>
      </c>
      <c r="R87" s="57">
        <v>98</v>
      </c>
      <c r="S87" s="57">
        <v>98</v>
      </c>
      <c r="T87" s="57">
        <v>98</v>
      </c>
    </row>
    <row r="88" spans="1:20" x14ac:dyDescent="0.25">
      <c r="A88" s="59" t="s">
        <v>45</v>
      </c>
      <c r="B88" s="57"/>
      <c r="C88" s="57"/>
      <c r="D88" s="57"/>
      <c r="E88" s="57"/>
      <c r="F88" s="57"/>
      <c r="G88" s="57"/>
      <c r="H88" s="57"/>
      <c r="I88" s="57"/>
      <c r="J88" s="57"/>
      <c r="K88" s="57"/>
      <c r="L88" s="57"/>
      <c r="M88" s="57"/>
      <c r="N88" s="57"/>
      <c r="O88" s="57"/>
      <c r="P88" s="57"/>
      <c r="Q88" s="57"/>
      <c r="R88" s="58">
        <v>0</v>
      </c>
      <c r="S88" s="57"/>
      <c r="T88" s="57"/>
    </row>
    <row r="89" spans="1:20" x14ac:dyDescent="0.25">
      <c r="A89" s="9" t="s">
        <v>199</v>
      </c>
      <c r="B89" s="9"/>
      <c r="C89" s="9"/>
      <c r="D89" s="9"/>
      <c r="E89" s="9"/>
      <c r="F89" s="9"/>
      <c r="G89" s="9"/>
      <c r="H89" s="9"/>
      <c r="I89" s="9"/>
      <c r="J89" s="9"/>
      <c r="K89" s="9"/>
      <c r="L89" s="9"/>
      <c r="M89" s="9"/>
      <c r="N89" s="9"/>
      <c r="O89" s="9"/>
      <c r="P89" s="9"/>
      <c r="Q89" s="9"/>
      <c r="R89" s="9"/>
      <c r="S89" s="9"/>
      <c r="T89" s="9"/>
    </row>
    <row r="90" spans="1:20" x14ac:dyDescent="0.25">
      <c r="A90" s="59" t="s">
        <v>42</v>
      </c>
      <c r="B90" s="57">
        <v>70</v>
      </c>
      <c r="C90" s="57">
        <v>70</v>
      </c>
      <c r="D90" s="57">
        <v>85</v>
      </c>
      <c r="E90" s="57"/>
      <c r="F90" s="57"/>
      <c r="G90" s="57"/>
      <c r="H90" s="57"/>
      <c r="I90" s="57"/>
      <c r="J90" s="57"/>
      <c r="K90" s="57">
        <v>94</v>
      </c>
      <c r="L90" s="57">
        <v>96</v>
      </c>
      <c r="M90" s="57">
        <v>96</v>
      </c>
      <c r="N90" s="57">
        <v>96</v>
      </c>
      <c r="O90" s="57">
        <v>98</v>
      </c>
      <c r="P90" s="58">
        <v>98</v>
      </c>
      <c r="Q90" s="58">
        <v>98</v>
      </c>
      <c r="R90" s="58">
        <v>98</v>
      </c>
      <c r="S90" s="58">
        <v>98.14</v>
      </c>
      <c r="T90" s="57"/>
    </row>
    <row r="91" spans="1:20" x14ac:dyDescent="0.25">
      <c r="A91" s="59" t="s">
        <v>43</v>
      </c>
      <c r="B91" s="57"/>
      <c r="C91" s="57"/>
      <c r="D91" s="57"/>
      <c r="E91" s="57"/>
      <c r="F91" s="57">
        <v>50</v>
      </c>
      <c r="G91" s="57"/>
      <c r="H91" s="57"/>
      <c r="I91" s="58">
        <v>35.07</v>
      </c>
      <c r="J91" s="58">
        <v>46.57</v>
      </c>
      <c r="K91" s="58">
        <v>50</v>
      </c>
      <c r="L91" s="58">
        <v>86</v>
      </c>
      <c r="M91" s="57">
        <v>86</v>
      </c>
      <c r="N91" s="57">
        <v>86</v>
      </c>
      <c r="O91" s="57">
        <v>88</v>
      </c>
      <c r="P91" s="58">
        <v>88</v>
      </c>
      <c r="Q91" s="58">
        <v>88</v>
      </c>
      <c r="R91" s="58">
        <v>88</v>
      </c>
      <c r="S91" s="58">
        <v>88</v>
      </c>
      <c r="T91" s="58">
        <v>88</v>
      </c>
    </row>
    <row r="92" spans="1:20" x14ac:dyDescent="0.25">
      <c r="A92" s="59" t="s">
        <v>44</v>
      </c>
      <c r="B92" s="57"/>
      <c r="C92" s="57"/>
      <c r="D92" s="57"/>
      <c r="E92" s="57"/>
      <c r="F92" s="57"/>
      <c r="G92" s="57"/>
      <c r="H92" s="57"/>
      <c r="I92" s="57"/>
      <c r="J92" s="57"/>
      <c r="K92" s="57"/>
      <c r="L92" s="58">
        <v>0</v>
      </c>
      <c r="M92" s="57">
        <v>0</v>
      </c>
      <c r="N92" s="57">
        <v>7.2</v>
      </c>
      <c r="O92" s="57">
        <v>7.5</v>
      </c>
      <c r="P92" s="58">
        <v>30</v>
      </c>
      <c r="Q92" s="58">
        <v>50</v>
      </c>
      <c r="R92" s="58">
        <v>55</v>
      </c>
      <c r="S92" s="58">
        <v>60</v>
      </c>
      <c r="T92" s="58">
        <v>62</v>
      </c>
    </row>
    <row r="93" spans="1:20" x14ac:dyDescent="0.25">
      <c r="A93" s="59" t="s">
        <v>45</v>
      </c>
      <c r="B93" s="57"/>
      <c r="C93" s="57"/>
      <c r="D93" s="57"/>
      <c r="E93" s="57"/>
      <c r="F93" s="57"/>
      <c r="G93" s="57"/>
      <c r="H93" s="57"/>
      <c r="I93" s="57"/>
      <c r="J93" s="57"/>
      <c r="K93" s="57"/>
      <c r="L93" s="57"/>
      <c r="M93" s="57"/>
      <c r="N93" s="57"/>
      <c r="O93" s="57"/>
      <c r="P93" s="57"/>
      <c r="Q93" s="57"/>
      <c r="R93" s="58">
        <v>0</v>
      </c>
      <c r="S93" s="57"/>
      <c r="T93" s="57"/>
    </row>
    <row r="94" spans="1:20" x14ac:dyDescent="0.25">
      <c r="A94" s="9" t="s">
        <v>200</v>
      </c>
      <c r="B94" s="9"/>
      <c r="C94" s="9"/>
      <c r="D94" s="9"/>
      <c r="E94" s="9"/>
      <c r="F94" s="9"/>
      <c r="G94" s="9"/>
      <c r="H94" s="9"/>
      <c r="I94" s="9"/>
      <c r="J94" s="9"/>
      <c r="K94" s="9"/>
      <c r="L94" s="9"/>
      <c r="M94" s="9"/>
      <c r="N94" s="9"/>
      <c r="O94" s="9"/>
      <c r="P94" s="9"/>
      <c r="Q94" s="9"/>
      <c r="R94" s="9"/>
      <c r="S94" s="9"/>
      <c r="T94" s="9"/>
    </row>
    <row r="95" spans="1:20" x14ac:dyDescent="0.25">
      <c r="A95" s="59" t="s">
        <v>42</v>
      </c>
      <c r="B95" s="57">
        <v>59</v>
      </c>
      <c r="C95" s="57">
        <v>65.3</v>
      </c>
      <c r="D95" s="57">
        <v>68</v>
      </c>
      <c r="E95" s="57">
        <v>73</v>
      </c>
      <c r="F95" s="57">
        <v>75</v>
      </c>
      <c r="G95" s="57">
        <v>77</v>
      </c>
      <c r="H95" s="57">
        <v>84.9</v>
      </c>
      <c r="I95" s="57">
        <v>87</v>
      </c>
      <c r="J95" s="57"/>
      <c r="K95" s="57"/>
      <c r="L95" s="57">
        <v>96.79</v>
      </c>
      <c r="M95" s="57">
        <v>96.79</v>
      </c>
      <c r="N95" s="57">
        <v>96.79</v>
      </c>
      <c r="O95" s="57">
        <v>96.79</v>
      </c>
      <c r="P95" s="57">
        <v>96.98</v>
      </c>
      <c r="Q95" s="57">
        <v>96.98</v>
      </c>
      <c r="R95" s="57">
        <v>96.98</v>
      </c>
      <c r="S95" s="57">
        <v>96.98</v>
      </c>
      <c r="T95" s="57">
        <v>99.55</v>
      </c>
    </row>
    <row r="96" spans="1:20" x14ac:dyDescent="0.25">
      <c r="A96" s="59" t="s">
        <v>43</v>
      </c>
      <c r="B96" s="57"/>
      <c r="C96" s="57"/>
      <c r="D96" s="57"/>
      <c r="E96" s="57"/>
      <c r="F96" s="57">
        <v>35</v>
      </c>
      <c r="G96" s="57">
        <v>36</v>
      </c>
      <c r="H96" s="57">
        <v>38</v>
      </c>
      <c r="I96" s="57">
        <v>40</v>
      </c>
      <c r="J96" s="57"/>
      <c r="K96" s="57">
        <v>70</v>
      </c>
      <c r="L96" s="57">
        <v>80</v>
      </c>
      <c r="M96" s="57">
        <v>80</v>
      </c>
      <c r="N96" s="57">
        <v>80</v>
      </c>
      <c r="O96" s="57">
        <v>80</v>
      </c>
      <c r="P96" s="57">
        <v>95.82</v>
      </c>
      <c r="Q96" s="57">
        <v>95.82</v>
      </c>
      <c r="R96" s="57">
        <v>95.82</v>
      </c>
      <c r="S96" s="57">
        <v>95.82</v>
      </c>
      <c r="T96" s="57">
        <v>99.5</v>
      </c>
    </row>
    <row r="97" spans="1:20" x14ac:dyDescent="0.25">
      <c r="A97" s="59" t="s">
        <v>44</v>
      </c>
      <c r="B97" s="57"/>
      <c r="C97" s="57"/>
      <c r="D97" s="57"/>
      <c r="E97" s="57"/>
      <c r="F97" s="57"/>
      <c r="G97" s="57"/>
      <c r="H97" s="57"/>
      <c r="I97" s="57"/>
      <c r="J97" s="57"/>
      <c r="K97" s="58">
        <v>10</v>
      </c>
      <c r="L97" s="57">
        <v>23</v>
      </c>
      <c r="M97" s="57">
        <v>34.86</v>
      </c>
      <c r="N97" s="57">
        <v>34.86</v>
      </c>
      <c r="O97" s="57">
        <v>34.86</v>
      </c>
      <c r="P97" s="57">
        <v>67.650000000000006</v>
      </c>
      <c r="Q97" s="57">
        <v>67.650000000000006</v>
      </c>
      <c r="R97" s="57">
        <v>67.650000000000006</v>
      </c>
      <c r="S97" s="57">
        <v>67.650000000000006</v>
      </c>
      <c r="T97" s="57">
        <v>99.3</v>
      </c>
    </row>
    <row r="98" spans="1:20" x14ac:dyDescent="0.25">
      <c r="A98" s="59" t="s">
        <v>45</v>
      </c>
      <c r="B98" s="57"/>
      <c r="C98" s="57"/>
      <c r="D98" s="57"/>
      <c r="E98" s="57"/>
      <c r="F98" s="57"/>
      <c r="G98" s="57"/>
      <c r="H98" s="57"/>
      <c r="I98" s="57"/>
      <c r="J98" s="57"/>
      <c r="K98" s="57"/>
      <c r="L98" s="57"/>
      <c r="M98" s="57"/>
      <c r="N98" s="57"/>
      <c r="O98" s="57"/>
      <c r="P98" s="57"/>
      <c r="Q98" s="57">
        <v>0</v>
      </c>
      <c r="R98" s="57">
        <v>0</v>
      </c>
      <c r="S98" s="57">
        <v>0</v>
      </c>
      <c r="T98" s="57">
        <v>0</v>
      </c>
    </row>
    <row r="99" spans="1:20" x14ac:dyDescent="0.25">
      <c r="A99" s="9" t="s">
        <v>201</v>
      </c>
      <c r="B99" s="9"/>
      <c r="C99" s="9"/>
      <c r="D99" s="9"/>
      <c r="E99" s="9"/>
      <c r="F99" s="9"/>
      <c r="G99" s="9"/>
      <c r="H99" s="9"/>
      <c r="I99" s="9"/>
      <c r="J99" s="9"/>
      <c r="K99" s="9"/>
      <c r="L99" s="9"/>
      <c r="M99" s="9"/>
      <c r="N99" s="9"/>
      <c r="O99" s="9"/>
      <c r="P99" s="9"/>
      <c r="Q99" s="9"/>
      <c r="R99" s="9"/>
      <c r="S99" s="9"/>
      <c r="T99" s="9"/>
    </row>
    <row r="100" spans="1:20" x14ac:dyDescent="0.25">
      <c r="A100" s="59" t="s">
        <v>42</v>
      </c>
      <c r="B100" s="57"/>
      <c r="C100" s="57">
        <v>80</v>
      </c>
      <c r="D100" s="57">
        <v>80</v>
      </c>
      <c r="E100" s="57">
        <v>80</v>
      </c>
      <c r="F100" s="57"/>
      <c r="G100" s="57"/>
      <c r="H100" s="57"/>
      <c r="I100" s="57"/>
      <c r="J100" s="57"/>
      <c r="K100" s="57"/>
      <c r="L100" s="57">
        <v>99.1</v>
      </c>
      <c r="M100" s="57"/>
      <c r="N100" s="57"/>
      <c r="O100" s="57">
        <v>79</v>
      </c>
      <c r="P100" s="57">
        <v>87</v>
      </c>
      <c r="Q100" s="58">
        <v>88</v>
      </c>
      <c r="R100" s="58">
        <v>88</v>
      </c>
      <c r="S100" s="58">
        <v>87.93</v>
      </c>
      <c r="T100" s="57"/>
    </row>
    <row r="101" spans="1:20" x14ac:dyDescent="0.25">
      <c r="A101" s="59" t="s">
        <v>43</v>
      </c>
      <c r="B101" s="57"/>
      <c r="C101" s="57"/>
      <c r="D101" s="57"/>
      <c r="E101" s="57"/>
      <c r="F101" s="57"/>
      <c r="G101" s="57"/>
      <c r="H101" s="57"/>
      <c r="I101" s="57"/>
      <c r="J101" s="57"/>
      <c r="K101" s="58">
        <v>0</v>
      </c>
      <c r="L101" s="57">
        <v>39.1</v>
      </c>
      <c r="M101" s="57"/>
      <c r="N101" s="57"/>
      <c r="O101" s="57">
        <v>31</v>
      </c>
      <c r="P101" s="57">
        <v>40</v>
      </c>
      <c r="Q101" s="58">
        <v>40</v>
      </c>
      <c r="R101" s="58">
        <v>40</v>
      </c>
      <c r="S101" s="58">
        <v>40</v>
      </c>
      <c r="T101" s="58">
        <v>77</v>
      </c>
    </row>
    <row r="102" spans="1:20" x14ac:dyDescent="0.25">
      <c r="A102" s="59" t="s">
        <v>44</v>
      </c>
      <c r="B102" s="57"/>
      <c r="C102" s="57"/>
      <c r="D102" s="57"/>
      <c r="E102" s="57"/>
      <c r="F102" s="57"/>
      <c r="G102" s="57"/>
      <c r="H102" s="57"/>
      <c r="I102" s="57"/>
      <c r="J102" s="57"/>
      <c r="K102" s="58">
        <v>0</v>
      </c>
      <c r="L102" s="57">
        <v>10.3</v>
      </c>
      <c r="M102" s="57"/>
      <c r="N102" s="57"/>
      <c r="O102" s="57">
        <v>18.5</v>
      </c>
      <c r="P102" s="57">
        <v>29</v>
      </c>
      <c r="Q102" s="58">
        <v>29</v>
      </c>
      <c r="R102" s="58">
        <v>29</v>
      </c>
      <c r="S102" s="58">
        <v>32.119999999999997</v>
      </c>
      <c r="T102" s="58">
        <v>77</v>
      </c>
    </row>
    <row r="103" spans="1:20" x14ac:dyDescent="0.25">
      <c r="A103" s="59" t="s">
        <v>45</v>
      </c>
      <c r="B103" s="57"/>
      <c r="C103" s="57"/>
      <c r="D103" s="57"/>
      <c r="E103" s="57"/>
      <c r="F103" s="57"/>
      <c r="G103" s="57"/>
      <c r="H103" s="57"/>
      <c r="I103" s="57"/>
      <c r="J103" s="57"/>
      <c r="K103" s="57"/>
      <c r="L103" s="57"/>
      <c r="M103" s="57"/>
      <c r="N103" s="57"/>
      <c r="O103" s="57"/>
      <c r="P103" s="57"/>
      <c r="Q103" s="57"/>
      <c r="R103" s="58">
        <v>0</v>
      </c>
      <c r="S103" s="57"/>
      <c r="T103" s="57"/>
    </row>
    <row r="104" spans="1:20" x14ac:dyDescent="0.25">
      <c r="A104" s="9" t="s">
        <v>202</v>
      </c>
      <c r="B104" s="9"/>
      <c r="C104" s="9"/>
      <c r="D104" s="9"/>
      <c r="E104" s="9"/>
      <c r="F104" s="9"/>
      <c r="G104" s="9"/>
      <c r="H104" s="9"/>
      <c r="I104" s="9"/>
      <c r="J104" s="9"/>
      <c r="K104" s="9"/>
      <c r="L104" s="9"/>
      <c r="M104" s="9"/>
      <c r="N104" s="9"/>
      <c r="O104" s="9"/>
      <c r="P104" s="9"/>
      <c r="Q104" s="9"/>
      <c r="R104" s="9"/>
      <c r="S104" s="9"/>
      <c r="T104" s="9"/>
    </row>
    <row r="105" spans="1:20" x14ac:dyDescent="0.25">
      <c r="A105" s="59" t="s">
        <v>42</v>
      </c>
      <c r="B105" s="57"/>
      <c r="C105" s="57">
        <v>65</v>
      </c>
      <c r="D105" s="57"/>
      <c r="E105" s="57"/>
      <c r="F105" s="57"/>
      <c r="G105" s="57">
        <v>50</v>
      </c>
      <c r="H105" s="57">
        <v>46</v>
      </c>
      <c r="I105" s="57">
        <v>65</v>
      </c>
      <c r="J105" s="57"/>
      <c r="K105" s="57"/>
      <c r="L105" s="57">
        <v>86</v>
      </c>
      <c r="M105" s="57">
        <v>83</v>
      </c>
      <c r="N105" s="57">
        <v>90.5</v>
      </c>
      <c r="O105" s="57">
        <v>91.8</v>
      </c>
      <c r="P105" s="57">
        <v>97.09</v>
      </c>
      <c r="Q105" s="57">
        <v>100</v>
      </c>
      <c r="R105" s="57">
        <v>100</v>
      </c>
      <c r="S105" s="57">
        <v>100</v>
      </c>
      <c r="T105" s="57">
        <v>100</v>
      </c>
    </row>
    <row r="106" spans="1:20" x14ac:dyDescent="0.25">
      <c r="A106" s="59" t="s">
        <v>43</v>
      </c>
      <c r="B106" s="57"/>
      <c r="C106" s="57"/>
      <c r="D106" s="57"/>
      <c r="E106" s="57"/>
      <c r="F106" s="57"/>
      <c r="G106" s="57"/>
      <c r="H106" s="57"/>
      <c r="I106" s="57"/>
      <c r="J106" s="57"/>
      <c r="K106" s="57"/>
      <c r="L106" s="58">
        <v>20.367999999999999</v>
      </c>
      <c r="M106" s="57">
        <v>30</v>
      </c>
      <c r="N106" s="57"/>
      <c r="O106" s="57"/>
      <c r="P106" s="57">
        <v>30</v>
      </c>
      <c r="Q106" s="57">
        <v>32.64</v>
      </c>
      <c r="R106" s="57">
        <v>43</v>
      </c>
      <c r="S106" s="57">
        <v>48</v>
      </c>
      <c r="T106" s="57">
        <v>53</v>
      </c>
    </row>
    <row r="107" spans="1:20" x14ac:dyDescent="0.25">
      <c r="A107" s="59" t="s">
        <v>44</v>
      </c>
      <c r="B107" s="57"/>
      <c r="C107" s="57"/>
      <c r="D107" s="57"/>
      <c r="E107" s="57"/>
      <c r="F107" s="57"/>
      <c r="G107" s="57"/>
      <c r="H107" s="57"/>
      <c r="I107" s="57"/>
      <c r="J107" s="57"/>
      <c r="K107" s="58">
        <v>0</v>
      </c>
      <c r="L107" s="57">
        <v>0</v>
      </c>
      <c r="M107" s="57"/>
      <c r="N107" s="57"/>
      <c r="O107" s="57"/>
      <c r="P107" s="57"/>
      <c r="Q107" s="57"/>
      <c r="R107" s="57">
        <v>23</v>
      </c>
      <c r="S107" s="57">
        <v>31</v>
      </c>
      <c r="T107" s="57">
        <v>32</v>
      </c>
    </row>
    <row r="108" spans="1:20" x14ac:dyDescent="0.25">
      <c r="A108" s="59" t="s">
        <v>45</v>
      </c>
      <c r="B108" s="57"/>
      <c r="C108" s="57"/>
      <c r="D108" s="57"/>
      <c r="E108" s="57"/>
      <c r="F108" s="57"/>
      <c r="G108" s="57"/>
      <c r="H108" s="57"/>
      <c r="I108" s="57"/>
      <c r="J108" s="57"/>
      <c r="K108" s="57"/>
      <c r="L108" s="57"/>
      <c r="M108" s="57"/>
      <c r="N108" s="57"/>
      <c r="O108" s="57"/>
      <c r="P108" s="57"/>
      <c r="Q108" s="57"/>
      <c r="R108" s="57">
        <v>0</v>
      </c>
      <c r="S108" s="57">
        <v>0</v>
      </c>
      <c r="T108" s="57">
        <v>0</v>
      </c>
    </row>
    <row r="109" spans="1:20" x14ac:dyDescent="0.25">
      <c r="A109" s="9" t="s">
        <v>203</v>
      </c>
      <c r="B109" s="9"/>
      <c r="C109" s="9"/>
      <c r="D109" s="9"/>
      <c r="E109" s="9"/>
      <c r="F109" s="9"/>
      <c r="G109" s="9"/>
      <c r="H109" s="9"/>
      <c r="I109" s="9"/>
      <c r="J109" s="9"/>
      <c r="K109" s="9"/>
      <c r="L109" s="9"/>
      <c r="M109" s="9"/>
      <c r="N109" s="9"/>
      <c r="O109" s="9"/>
      <c r="P109" s="9"/>
      <c r="Q109" s="9"/>
      <c r="R109" s="9"/>
      <c r="S109" s="9"/>
      <c r="T109" s="9"/>
    </row>
    <row r="110" spans="1:20" x14ac:dyDescent="0.25">
      <c r="A110" s="59" t="s">
        <v>42</v>
      </c>
      <c r="B110" s="57">
        <v>62</v>
      </c>
      <c r="C110" s="57">
        <v>65</v>
      </c>
      <c r="D110" s="57">
        <v>77</v>
      </c>
      <c r="E110" s="57">
        <v>83</v>
      </c>
      <c r="F110" s="57">
        <v>84.5</v>
      </c>
      <c r="G110" s="57">
        <v>89</v>
      </c>
      <c r="H110" s="57">
        <v>89.1</v>
      </c>
      <c r="I110" s="57">
        <v>89.08</v>
      </c>
      <c r="J110" s="57">
        <v>89.08</v>
      </c>
      <c r="K110" s="57">
        <v>89.08</v>
      </c>
      <c r="L110" s="57">
        <v>92</v>
      </c>
      <c r="M110" s="57">
        <v>94.4</v>
      </c>
      <c r="N110" s="57">
        <v>95.3</v>
      </c>
      <c r="O110" s="57">
        <v>96</v>
      </c>
      <c r="P110" s="57">
        <v>96.3</v>
      </c>
      <c r="Q110" s="57">
        <v>96.3</v>
      </c>
      <c r="R110" s="57">
        <v>97</v>
      </c>
      <c r="S110" s="57">
        <v>98</v>
      </c>
      <c r="T110" s="57">
        <v>98</v>
      </c>
    </row>
    <row r="111" spans="1:20" x14ac:dyDescent="0.25">
      <c r="A111" s="59" t="s">
        <v>43</v>
      </c>
      <c r="B111" s="57"/>
      <c r="C111" s="57"/>
      <c r="D111" s="57"/>
      <c r="E111" s="57"/>
      <c r="F111" s="57"/>
      <c r="G111" s="57"/>
      <c r="H111" s="57"/>
      <c r="I111" s="57"/>
      <c r="J111" s="57"/>
      <c r="K111" s="58">
        <v>50</v>
      </c>
      <c r="L111" s="57">
        <v>69</v>
      </c>
      <c r="M111" s="57">
        <v>78</v>
      </c>
      <c r="N111" s="57">
        <v>85</v>
      </c>
      <c r="O111" s="57">
        <v>86</v>
      </c>
      <c r="P111" s="57">
        <v>93.3</v>
      </c>
      <c r="Q111" s="57">
        <v>94</v>
      </c>
      <c r="R111" s="57">
        <v>95</v>
      </c>
      <c r="S111" s="57">
        <v>98</v>
      </c>
      <c r="T111" s="57">
        <v>98</v>
      </c>
    </row>
    <row r="112" spans="1:20" x14ac:dyDescent="0.25">
      <c r="A112" s="59" t="s">
        <v>44</v>
      </c>
      <c r="B112" s="57"/>
      <c r="C112" s="57"/>
      <c r="D112" s="57"/>
      <c r="E112" s="57"/>
      <c r="F112" s="57"/>
      <c r="G112" s="57"/>
      <c r="H112" s="57"/>
      <c r="I112" s="57"/>
      <c r="J112" s="57"/>
      <c r="K112" s="58">
        <v>0</v>
      </c>
      <c r="L112" s="58">
        <v>7</v>
      </c>
      <c r="M112" s="57">
        <v>21.5</v>
      </c>
      <c r="N112" s="57">
        <v>25</v>
      </c>
      <c r="O112" s="57">
        <v>35</v>
      </c>
      <c r="P112" s="57">
        <v>57</v>
      </c>
      <c r="Q112" s="57">
        <v>77</v>
      </c>
      <c r="R112" s="57">
        <v>94</v>
      </c>
      <c r="S112" s="57">
        <v>97</v>
      </c>
      <c r="T112" s="57">
        <v>97</v>
      </c>
    </row>
    <row r="113" spans="1:20" x14ac:dyDescent="0.25">
      <c r="A113" s="59" t="s">
        <v>45</v>
      </c>
      <c r="B113" s="57"/>
      <c r="C113" s="57"/>
      <c r="D113" s="57"/>
      <c r="E113" s="57"/>
      <c r="F113" s="57"/>
      <c r="G113" s="57"/>
      <c r="H113" s="57"/>
      <c r="I113" s="57"/>
      <c r="J113" s="57"/>
      <c r="K113" s="57"/>
      <c r="L113" s="57"/>
      <c r="M113" s="57"/>
      <c r="N113" s="57"/>
      <c r="O113" s="57"/>
      <c r="P113" s="57"/>
      <c r="Q113" s="57"/>
      <c r="R113" s="57">
        <v>0</v>
      </c>
      <c r="S113" s="57">
        <v>0.6</v>
      </c>
      <c r="T113" s="57">
        <v>1.2</v>
      </c>
    </row>
    <row r="114" spans="1:20" x14ac:dyDescent="0.25">
      <c r="A114" s="9" t="s">
        <v>204</v>
      </c>
      <c r="B114" s="9"/>
      <c r="C114" s="9"/>
      <c r="D114" s="9"/>
      <c r="E114" s="9"/>
      <c r="F114" s="9"/>
      <c r="G114" s="9"/>
      <c r="H114" s="9"/>
      <c r="I114" s="9"/>
      <c r="J114" s="9"/>
      <c r="K114" s="9"/>
      <c r="L114" s="9"/>
      <c r="M114" s="9"/>
      <c r="N114" s="9"/>
      <c r="O114" s="9"/>
      <c r="P114" s="9"/>
      <c r="Q114" s="9"/>
      <c r="R114" s="9"/>
      <c r="S114" s="9"/>
      <c r="T114" s="9"/>
    </row>
    <row r="115" spans="1:20" x14ac:dyDescent="0.25">
      <c r="A115" s="59" t="s">
        <v>42</v>
      </c>
      <c r="B115" s="57">
        <v>29</v>
      </c>
      <c r="C115" s="57">
        <v>55</v>
      </c>
      <c r="D115" s="57"/>
      <c r="E115" s="57"/>
      <c r="F115" s="57"/>
      <c r="G115" s="57"/>
      <c r="H115" s="57">
        <v>75</v>
      </c>
      <c r="I115" s="57">
        <v>81</v>
      </c>
      <c r="J115" s="57"/>
      <c r="K115" s="57">
        <v>92.66</v>
      </c>
      <c r="L115" s="57">
        <v>97</v>
      </c>
      <c r="M115" s="57">
        <v>97.6</v>
      </c>
      <c r="N115" s="57">
        <v>98.63</v>
      </c>
      <c r="O115" s="57">
        <v>98</v>
      </c>
      <c r="P115" s="57">
        <v>98</v>
      </c>
      <c r="Q115" s="57">
        <v>98</v>
      </c>
      <c r="R115" s="57">
        <v>95</v>
      </c>
      <c r="S115" s="57">
        <v>95.8</v>
      </c>
      <c r="T115" s="57">
        <v>95.8</v>
      </c>
    </row>
    <row r="116" spans="1:20" x14ac:dyDescent="0.25">
      <c r="A116" s="59" t="s">
        <v>43</v>
      </c>
      <c r="B116" s="57"/>
      <c r="C116" s="57"/>
      <c r="D116" s="57"/>
      <c r="E116" s="57"/>
      <c r="F116" s="57"/>
      <c r="G116" s="57"/>
      <c r="H116" s="57"/>
      <c r="I116" s="57">
        <v>32</v>
      </c>
      <c r="J116" s="58">
        <v>76.41</v>
      </c>
      <c r="K116" s="57">
        <v>91.96</v>
      </c>
      <c r="L116" s="57">
        <v>95.6</v>
      </c>
      <c r="M116" s="57">
        <v>96</v>
      </c>
      <c r="N116" s="57">
        <v>97.84</v>
      </c>
      <c r="O116" s="57">
        <v>97.84</v>
      </c>
      <c r="P116" s="57">
        <v>98</v>
      </c>
      <c r="Q116" s="57">
        <v>98</v>
      </c>
      <c r="R116" s="57">
        <v>95</v>
      </c>
      <c r="S116" s="57">
        <v>95.8</v>
      </c>
      <c r="T116" s="57">
        <v>95.8</v>
      </c>
    </row>
    <row r="117" spans="1:20" x14ac:dyDescent="0.25">
      <c r="A117" s="59" t="s">
        <v>44</v>
      </c>
      <c r="B117" s="57"/>
      <c r="C117" s="57"/>
      <c r="D117" s="57"/>
      <c r="E117" s="57"/>
      <c r="F117" s="57"/>
      <c r="G117" s="57"/>
      <c r="H117" s="57"/>
      <c r="I117" s="57"/>
      <c r="J117" s="57"/>
      <c r="K117" s="57">
        <v>62.7</v>
      </c>
      <c r="L117" s="57">
        <v>70</v>
      </c>
      <c r="M117" s="57">
        <v>75</v>
      </c>
      <c r="N117" s="57">
        <v>65</v>
      </c>
      <c r="O117" s="57">
        <v>65</v>
      </c>
      <c r="P117" s="57">
        <v>67</v>
      </c>
      <c r="Q117" s="57">
        <v>67</v>
      </c>
      <c r="R117" s="57">
        <v>85</v>
      </c>
      <c r="S117" s="57">
        <v>85.1</v>
      </c>
      <c r="T117" s="57">
        <v>85.1</v>
      </c>
    </row>
    <row r="118" spans="1:20" x14ac:dyDescent="0.25">
      <c r="A118" s="59" t="s">
        <v>45</v>
      </c>
      <c r="B118" s="57"/>
      <c r="C118" s="57"/>
      <c r="D118" s="57"/>
      <c r="E118" s="57"/>
      <c r="F118" s="57"/>
      <c r="G118" s="57"/>
      <c r="H118" s="57"/>
      <c r="I118" s="57"/>
      <c r="J118" s="57"/>
      <c r="K118" s="57"/>
      <c r="L118" s="57"/>
      <c r="M118" s="57"/>
      <c r="N118" s="57"/>
      <c r="O118" s="57"/>
      <c r="P118" s="57"/>
      <c r="Q118" s="57"/>
      <c r="R118" s="57">
        <v>0</v>
      </c>
      <c r="S118" s="57">
        <v>0</v>
      </c>
      <c r="T118" s="57">
        <v>0</v>
      </c>
    </row>
    <row r="119" spans="1:20" x14ac:dyDescent="0.25">
      <c r="A119" s="9" t="s">
        <v>205</v>
      </c>
      <c r="B119" s="9"/>
      <c r="C119" s="9"/>
      <c r="D119" s="9"/>
      <c r="E119" s="9"/>
      <c r="F119" s="9"/>
      <c r="G119" s="9"/>
      <c r="H119" s="9"/>
      <c r="I119" s="9"/>
      <c r="J119" s="9"/>
      <c r="K119" s="9"/>
      <c r="L119" s="9"/>
      <c r="M119" s="9"/>
      <c r="N119" s="9"/>
      <c r="O119" s="9"/>
      <c r="P119" s="9"/>
      <c r="Q119" s="9"/>
      <c r="R119" s="9"/>
      <c r="S119" s="9"/>
      <c r="T119" s="9"/>
    </row>
    <row r="120" spans="1:20" x14ac:dyDescent="0.25">
      <c r="A120" s="59" t="s">
        <v>42</v>
      </c>
      <c r="B120" s="57"/>
      <c r="C120" s="57"/>
      <c r="D120" s="57"/>
      <c r="E120" s="57"/>
      <c r="F120" s="57"/>
      <c r="G120" s="57"/>
      <c r="H120" s="57">
        <v>55</v>
      </c>
      <c r="I120" s="57">
        <v>60</v>
      </c>
      <c r="J120" s="57">
        <v>60</v>
      </c>
      <c r="K120" s="57"/>
      <c r="L120" s="58">
        <v>76</v>
      </c>
      <c r="M120" s="57">
        <v>76</v>
      </c>
      <c r="N120" s="58">
        <v>76</v>
      </c>
      <c r="O120" s="57"/>
      <c r="P120" s="58">
        <v>76</v>
      </c>
      <c r="Q120" s="58">
        <v>76</v>
      </c>
      <c r="R120" s="58">
        <v>76</v>
      </c>
      <c r="S120" s="58">
        <v>78.099999999999994</v>
      </c>
      <c r="T120" s="57">
        <v>85.4</v>
      </c>
    </row>
    <row r="121" spans="1:20" x14ac:dyDescent="0.25">
      <c r="A121" s="59" t="s">
        <v>43</v>
      </c>
      <c r="B121" s="57"/>
      <c r="C121" s="57"/>
      <c r="D121" s="57"/>
      <c r="E121" s="57"/>
      <c r="F121" s="57"/>
      <c r="G121" s="57"/>
      <c r="H121" s="57"/>
      <c r="I121" s="57">
        <v>25</v>
      </c>
      <c r="J121" s="57">
        <v>50</v>
      </c>
      <c r="K121" s="58">
        <v>50</v>
      </c>
      <c r="L121" s="58">
        <v>50</v>
      </c>
      <c r="M121" s="57">
        <v>63</v>
      </c>
      <c r="N121" s="58">
        <v>63</v>
      </c>
      <c r="O121" s="57"/>
      <c r="P121" s="58">
        <v>63</v>
      </c>
      <c r="Q121" s="58">
        <v>63</v>
      </c>
      <c r="R121" s="58">
        <v>63</v>
      </c>
      <c r="S121" s="57">
        <v>76</v>
      </c>
      <c r="T121" s="58">
        <v>85.4</v>
      </c>
    </row>
    <row r="122" spans="1:20" x14ac:dyDescent="0.25">
      <c r="A122" s="59" t="s">
        <v>44</v>
      </c>
      <c r="B122" s="57"/>
      <c r="C122" s="57"/>
      <c r="D122" s="57"/>
      <c r="E122" s="57"/>
      <c r="F122" s="57"/>
      <c r="G122" s="57"/>
      <c r="H122" s="57"/>
      <c r="I122" s="57"/>
      <c r="J122" s="57"/>
      <c r="K122" s="57"/>
      <c r="L122" s="58">
        <v>0</v>
      </c>
      <c r="M122" s="57">
        <v>4.4000000000000004</v>
      </c>
      <c r="N122" s="58">
        <v>29.86</v>
      </c>
      <c r="O122" s="57"/>
      <c r="P122" s="58">
        <v>30</v>
      </c>
      <c r="Q122" s="58">
        <v>35</v>
      </c>
      <c r="R122" s="58">
        <v>35</v>
      </c>
      <c r="S122" s="57">
        <v>67</v>
      </c>
      <c r="T122" s="58">
        <v>80</v>
      </c>
    </row>
    <row r="123" spans="1:20" x14ac:dyDescent="0.25">
      <c r="A123" s="59" t="s">
        <v>45</v>
      </c>
      <c r="B123" s="57"/>
      <c r="C123" s="57"/>
      <c r="D123" s="57"/>
      <c r="E123" s="57"/>
      <c r="F123" s="57"/>
      <c r="G123" s="57"/>
      <c r="H123" s="57"/>
      <c r="I123" s="57"/>
      <c r="J123" s="57"/>
      <c r="K123" s="57"/>
      <c r="L123" s="57"/>
      <c r="M123" s="57"/>
      <c r="N123" s="57"/>
      <c r="O123" s="57"/>
      <c r="P123" s="57"/>
      <c r="Q123" s="57"/>
      <c r="R123" s="58">
        <v>0</v>
      </c>
      <c r="S123" s="57"/>
      <c r="T123" s="57"/>
    </row>
    <row r="124" spans="1:20" x14ac:dyDescent="0.25">
      <c r="A124" s="9" t="s">
        <v>206</v>
      </c>
      <c r="B124" s="9"/>
      <c r="C124" s="9"/>
      <c r="D124" s="9"/>
      <c r="E124" s="9"/>
      <c r="F124" s="9"/>
      <c r="G124" s="9"/>
      <c r="H124" s="9"/>
      <c r="I124" s="9"/>
      <c r="J124" s="9"/>
      <c r="K124" s="9"/>
      <c r="L124" s="9"/>
      <c r="M124" s="9"/>
      <c r="N124" s="9"/>
      <c r="O124" s="9"/>
      <c r="P124" s="9"/>
      <c r="Q124" s="9"/>
      <c r="R124" s="9"/>
      <c r="S124" s="9"/>
      <c r="T124" s="9"/>
    </row>
    <row r="125" spans="1:20" x14ac:dyDescent="0.25">
      <c r="A125" s="59" t="s">
        <v>42</v>
      </c>
      <c r="B125" s="57">
        <v>23</v>
      </c>
      <c r="C125" s="57">
        <v>23</v>
      </c>
      <c r="D125" s="57"/>
      <c r="E125" s="57"/>
      <c r="F125" s="57"/>
      <c r="G125" s="57"/>
      <c r="H125" s="57"/>
      <c r="I125" s="57"/>
      <c r="J125" s="57">
        <v>92.16</v>
      </c>
      <c r="K125" s="57"/>
      <c r="L125" s="57">
        <v>74.989999999999995</v>
      </c>
      <c r="M125" s="57">
        <v>78.010000000000005</v>
      </c>
      <c r="N125" s="57">
        <v>79.02</v>
      </c>
      <c r="O125" s="57">
        <v>80</v>
      </c>
      <c r="P125" s="57">
        <v>80</v>
      </c>
      <c r="Q125" s="57">
        <v>80</v>
      </c>
      <c r="R125" s="57">
        <v>88</v>
      </c>
      <c r="S125" s="57">
        <v>88.2</v>
      </c>
      <c r="T125" s="57">
        <v>88.54</v>
      </c>
    </row>
    <row r="126" spans="1:20" x14ac:dyDescent="0.25">
      <c r="A126" s="59" t="s">
        <v>43</v>
      </c>
      <c r="B126" s="57"/>
      <c r="C126" s="57"/>
      <c r="D126" s="57"/>
      <c r="E126" s="57"/>
      <c r="F126" s="57"/>
      <c r="G126" s="57"/>
      <c r="H126" s="57"/>
      <c r="I126" s="57"/>
      <c r="J126" s="57"/>
      <c r="K126" s="58">
        <v>30</v>
      </c>
      <c r="L126" s="57">
        <v>61</v>
      </c>
      <c r="M126" s="57">
        <v>63.01</v>
      </c>
      <c r="N126" s="57">
        <v>64</v>
      </c>
      <c r="O126" s="57">
        <v>65</v>
      </c>
      <c r="P126" s="57">
        <v>65</v>
      </c>
      <c r="Q126" s="57">
        <v>65</v>
      </c>
      <c r="R126" s="57">
        <v>67.099999999999994</v>
      </c>
      <c r="S126" s="57">
        <v>67.23</v>
      </c>
      <c r="T126" s="58">
        <v>68.16</v>
      </c>
    </row>
    <row r="127" spans="1:20" x14ac:dyDescent="0.25">
      <c r="A127" s="59" t="s">
        <v>44</v>
      </c>
      <c r="B127" s="57"/>
      <c r="C127" s="57"/>
      <c r="D127" s="57"/>
      <c r="E127" s="57"/>
      <c r="F127" s="57"/>
      <c r="G127" s="57"/>
      <c r="H127" s="57"/>
      <c r="I127" s="57"/>
      <c r="J127" s="57"/>
      <c r="K127" s="57"/>
      <c r="L127" s="57">
        <v>21</v>
      </c>
      <c r="M127" s="57">
        <v>23.08</v>
      </c>
      <c r="N127" s="57">
        <v>25.01</v>
      </c>
      <c r="O127" s="57">
        <v>25</v>
      </c>
      <c r="P127" s="57">
        <v>25</v>
      </c>
      <c r="Q127" s="57">
        <v>25</v>
      </c>
      <c r="R127" s="57">
        <v>27.11</v>
      </c>
      <c r="S127" s="57">
        <v>27.32</v>
      </c>
      <c r="T127" s="57">
        <v>33.64</v>
      </c>
    </row>
    <row r="128" spans="1:20" x14ac:dyDescent="0.25">
      <c r="A128" s="59" t="s">
        <v>45</v>
      </c>
      <c r="B128" s="57"/>
      <c r="C128" s="57"/>
      <c r="D128" s="57"/>
      <c r="E128" s="57"/>
      <c r="F128" s="57"/>
      <c r="G128" s="57"/>
      <c r="H128" s="57"/>
      <c r="I128" s="57"/>
      <c r="J128" s="57"/>
      <c r="K128" s="57"/>
      <c r="L128" s="57"/>
      <c r="M128" s="57"/>
      <c r="N128" s="57"/>
      <c r="O128" s="57"/>
      <c r="P128" s="57"/>
      <c r="Q128" s="57"/>
      <c r="R128" s="57"/>
      <c r="S128" s="57">
        <v>6</v>
      </c>
      <c r="T128" s="57">
        <v>6.12</v>
      </c>
    </row>
    <row r="129" spans="1:20" x14ac:dyDescent="0.25">
      <c r="A129" s="9" t="s">
        <v>207</v>
      </c>
      <c r="B129" s="9"/>
      <c r="C129" s="9"/>
      <c r="D129" s="9"/>
      <c r="E129" s="9"/>
      <c r="F129" s="9"/>
      <c r="G129" s="9"/>
      <c r="H129" s="9"/>
      <c r="I129" s="9"/>
      <c r="J129" s="9"/>
      <c r="K129" s="9"/>
      <c r="L129" s="9"/>
      <c r="M129" s="9"/>
      <c r="N129" s="9"/>
      <c r="O129" s="9"/>
      <c r="P129" s="9"/>
      <c r="Q129" s="9"/>
      <c r="R129" s="9"/>
      <c r="S129" s="9"/>
      <c r="T129" s="9"/>
    </row>
    <row r="130" spans="1:20" x14ac:dyDescent="0.25">
      <c r="A130" s="59" t="s">
        <v>42</v>
      </c>
      <c r="B130" s="57">
        <v>70</v>
      </c>
      <c r="C130" s="57"/>
      <c r="D130" s="57"/>
      <c r="E130" s="57"/>
      <c r="F130" s="57">
        <v>80</v>
      </c>
      <c r="G130" s="57">
        <v>85</v>
      </c>
      <c r="H130" s="57">
        <v>85</v>
      </c>
      <c r="I130" s="57">
        <v>85</v>
      </c>
      <c r="J130" s="57"/>
      <c r="K130" s="57"/>
      <c r="L130" s="57">
        <v>95</v>
      </c>
      <c r="M130" s="57">
        <v>96</v>
      </c>
      <c r="N130" s="57">
        <v>82</v>
      </c>
      <c r="O130" s="57">
        <v>84</v>
      </c>
      <c r="P130" s="57">
        <v>88</v>
      </c>
      <c r="Q130" s="57">
        <v>86</v>
      </c>
      <c r="R130" s="57">
        <v>86.3</v>
      </c>
      <c r="S130" s="57">
        <v>87.9</v>
      </c>
      <c r="T130" s="57">
        <v>89.13</v>
      </c>
    </row>
    <row r="131" spans="1:20" x14ac:dyDescent="0.25">
      <c r="A131" s="59" t="s">
        <v>43</v>
      </c>
      <c r="B131" s="57"/>
      <c r="C131" s="57"/>
      <c r="D131" s="57"/>
      <c r="E131" s="57"/>
      <c r="F131" s="57"/>
      <c r="G131" s="57"/>
      <c r="H131" s="57"/>
      <c r="I131" s="57">
        <v>2</v>
      </c>
      <c r="J131" s="57">
        <v>5</v>
      </c>
      <c r="K131" s="58">
        <v>5</v>
      </c>
      <c r="L131" s="57">
        <v>32</v>
      </c>
      <c r="M131" s="57">
        <v>42</v>
      </c>
      <c r="N131" s="57">
        <v>50</v>
      </c>
      <c r="O131" s="57">
        <v>54</v>
      </c>
      <c r="P131" s="57">
        <v>78</v>
      </c>
      <c r="Q131" s="57">
        <v>82</v>
      </c>
      <c r="R131" s="57">
        <v>84.4</v>
      </c>
      <c r="S131" s="57">
        <v>85.9</v>
      </c>
      <c r="T131" s="57">
        <v>88.69</v>
      </c>
    </row>
    <row r="132" spans="1:20" x14ac:dyDescent="0.25">
      <c r="A132" s="59" t="s">
        <v>44</v>
      </c>
      <c r="B132" s="57"/>
      <c r="C132" s="57"/>
      <c r="D132" s="57"/>
      <c r="E132" s="57"/>
      <c r="F132" s="57"/>
      <c r="G132" s="57"/>
      <c r="H132" s="57"/>
      <c r="I132" s="57"/>
      <c r="J132" s="57"/>
      <c r="K132" s="58">
        <v>0</v>
      </c>
      <c r="L132" s="57">
        <v>6</v>
      </c>
      <c r="M132" s="57">
        <v>15.8</v>
      </c>
      <c r="N132" s="57">
        <v>30</v>
      </c>
      <c r="O132" s="57">
        <v>30</v>
      </c>
      <c r="P132" s="57">
        <v>50</v>
      </c>
      <c r="Q132" s="57">
        <v>64.569999999999993</v>
      </c>
      <c r="R132" s="57">
        <v>68.599999999999994</v>
      </c>
      <c r="S132" s="57">
        <v>70.2</v>
      </c>
      <c r="T132" s="57">
        <v>74.91</v>
      </c>
    </row>
    <row r="133" spans="1:20" x14ac:dyDescent="0.25">
      <c r="A133" s="59" t="s">
        <v>45</v>
      </c>
      <c r="B133" s="57"/>
      <c r="C133" s="57"/>
      <c r="D133" s="57"/>
      <c r="E133" s="57"/>
      <c r="F133" s="57"/>
      <c r="G133" s="57"/>
      <c r="H133" s="57"/>
      <c r="I133" s="57"/>
      <c r="J133" s="57"/>
      <c r="K133" s="57"/>
      <c r="L133" s="57"/>
      <c r="M133" s="57"/>
      <c r="N133" s="57"/>
      <c r="O133" s="57"/>
      <c r="P133" s="57">
        <v>0</v>
      </c>
      <c r="Q133" s="57">
        <v>0</v>
      </c>
      <c r="R133" s="57">
        <v>0</v>
      </c>
      <c r="S133" s="57">
        <v>0</v>
      </c>
      <c r="T133" s="57">
        <v>0</v>
      </c>
    </row>
    <row r="134" spans="1:20" x14ac:dyDescent="0.25">
      <c r="A134" s="9" t="s">
        <v>208</v>
      </c>
      <c r="B134" s="9"/>
      <c r="C134" s="9"/>
      <c r="D134" s="9"/>
      <c r="E134" s="9"/>
      <c r="F134" s="9"/>
      <c r="G134" s="9"/>
      <c r="H134" s="9"/>
      <c r="I134" s="9"/>
      <c r="J134" s="9"/>
      <c r="K134" s="9"/>
      <c r="L134" s="9"/>
      <c r="M134" s="9"/>
      <c r="N134" s="9"/>
      <c r="O134" s="9"/>
      <c r="P134" s="9"/>
      <c r="Q134" s="9"/>
      <c r="R134" s="9"/>
      <c r="S134" s="9"/>
      <c r="T134" s="9"/>
    </row>
    <row r="135" spans="1:20" x14ac:dyDescent="0.25">
      <c r="A135" s="59" t="s">
        <v>42</v>
      </c>
      <c r="B135" s="57"/>
      <c r="C135" s="57">
        <v>20</v>
      </c>
      <c r="D135" s="57"/>
      <c r="E135" s="57"/>
      <c r="F135" s="57"/>
      <c r="G135" s="57"/>
      <c r="H135" s="57"/>
      <c r="I135" s="57"/>
      <c r="J135" s="57"/>
      <c r="K135" s="57"/>
      <c r="L135" s="58">
        <v>85</v>
      </c>
      <c r="M135" s="57"/>
      <c r="N135" s="57">
        <v>81</v>
      </c>
      <c r="O135" s="57">
        <v>100</v>
      </c>
      <c r="P135" s="57">
        <v>100</v>
      </c>
      <c r="Q135" s="57">
        <v>100</v>
      </c>
      <c r="R135" s="57">
        <v>100</v>
      </c>
      <c r="S135" s="57">
        <v>100</v>
      </c>
      <c r="T135" s="57">
        <v>100</v>
      </c>
    </row>
    <row r="136" spans="1:20" x14ac:dyDescent="0.25">
      <c r="A136" s="59" t="s">
        <v>43</v>
      </c>
      <c r="B136" s="57"/>
      <c r="C136" s="57"/>
      <c r="D136" s="57"/>
      <c r="E136" s="57"/>
      <c r="F136" s="57"/>
      <c r="G136" s="57"/>
      <c r="H136" s="57"/>
      <c r="I136" s="57"/>
      <c r="J136" s="57"/>
      <c r="K136" s="58">
        <v>0</v>
      </c>
      <c r="L136" s="58">
        <v>10</v>
      </c>
      <c r="M136" s="57">
        <v>23</v>
      </c>
      <c r="N136" s="57">
        <v>29.04</v>
      </c>
      <c r="O136" s="57">
        <v>55</v>
      </c>
      <c r="P136" s="57">
        <v>60</v>
      </c>
      <c r="Q136" s="57">
        <v>65</v>
      </c>
      <c r="R136" s="57">
        <v>68</v>
      </c>
      <c r="S136" s="57">
        <v>70</v>
      </c>
      <c r="T136" s="58">
        <v>81</v>
      </c>
    </row>
    <row r="137" spans="1:20" x14ac:dyDescent="0.25">
      <c r="A137" s="59" t="s">
        <v>44</v>
      </c>
      <c r="B137" s="57"/>
      <c r="C137" s="57"/>
      <c r="D137" s="57"/>
      <c r="E137" s="57"/>
      <c r="F137" s="57"/>
      <c r="G137" s="57"/>
      <c r="H137" s="57"/>
      <c r="I137" s="57"/>
      <c r="J137" s="57"/>
      <c r="K137" s="58">
        <v>0</v>
      </c>
      <c r="L137" s="58">
        <v>0</v>
      </c>
      <c r="M137" s="57">
        <v>0</v>
      </c>
      <c r="N137" s="57">
        <v>0</v>
      </c>
      <c r="O137" s="57">
        <v>28</v>
      </c>
      <c r="P137" s="57">
        <v>34</v>
      </c>
      <c r="Q137" s="57">
        <v>45</v>
      </c>
      <c r="R137" s="57">
        <v>47</v>
      </c>
      <c r="S137" s="57">
        <v>53</v>
      </c>
      <c r="T137" s="58">
        <v>81</v>
      </c>
    </row>
    <row r="138" spans="1:20" x14ac:dyDescent="0.25">
      <c r="A138" s="59" t="s">
        <v>45</v>
      </c>
      <c r="B138" s="57"/>
      <c r="C138" s="57"/>
      <c r="D138" s="57"/>
      <c r="E138" s="57"/>
      <c r="F138" s="57"/>
      <c r="G138" s="57"/>
      <c r="H138" s="57"/>
      <c r="I138" s="57"/>
      <c r="J138" s="57"/>
      <c r="K138" s="57"/>
      <c r="L138" s="57"/>
      <c r="M138" s="57"/>
      <c r="N138" s="57"/>
      <c r="O138" s="57">
        <v>0</v>
      </c>
      <c r="P138" s="57">
        <v>0</v>
      </c>
      <c r="Q138" s="57">
        <v>0</v>
      </c>
      <c r="R138" s="57">
        <v>0</v>
      </c>
      <c r="S138" s="57">
        <v>0</v>
      </c>
      <c r="T138" s="57"/>
    </row>
    <row r="139" spans="1:20" x14ac:dyDescent="0.25">
      <c r="A139" s="9" t="s">
        <v>209</v>
      </c>
      <c r="B139" s="9"/>
      <c r="C139" s="9"/>
      <c r="D139" s="9"/>
      <c r="E139" s="9"/>
      <c r="F139" s="9"/>
      <c r="G139" s="9"/>
      <c r="H139" s="9"/>
      <c r="I139" s="9"/>
      <c r="J139" s="9"/>
      <c r="K139" s="9"/>
      <c r="L139" s="9"/>
      <c r="M139" s="9"/>
      <c r="N139" s="9"/>
      <c r="O139" s="9"/>
      <c r="P139" s="9"/>
      <c r="Q139" s="9"/>
      <c r="R139" s="9"/>
      <c r="S139" s="9"/>
      <c r="T139" s="9"/>
    </row>
    <row r="140" spans="1:20" x14ac:dyDescent="0.25">
      <c r="A140" s="59" t="s">
        <v>42</v>
      </c>
      <c r="B140" s="57">
        <v>99.8</v>
      </c>
      <c r="C140" s="57">
        <v>99.8</v>
      </c>
      <c r="D140" s="57">
        <v>99</v>
      </c>
      <c r="E140" s="57">
        <v>99</v>
      </c>
      <c r="F140" s="57">
        <v>99</v>
      </c>
      <c r="G140" s="57">
        <v>99</v>
      </c>
      <c r="H140" s="57">
        <v>99</v>
      </c>
      <c r="I140" s="57">
        <v>99</v>
      </c>
      <c r="J140" s="57">
        <v>99</v>
      </c>
      <c r="K140" s="57">
        <v>99</v>
      </c>
      <c r="L140" s="57">
        <v>99</v>
      </c>
      <c r="M140" s="57">
        <v>99</v>
      </c>
      <c r="N140" s="57">
        <v>99</v>
      </c>
      <c r="O140" s="57">
        <v>99</v>
      </c>
      <c r="P140" s="57">
        <v>99</v>
      </c>
      <c r="Q140" s="57">
        <v>99</v>
      </c>
      <c r="R140" s="57">
        <v>99</v>
      </c>
      <c r="S140" s="57">
        <v>99</v>
      </c>
      <c r="T140" s="57">
        <v>99</v>
      </c>
    </row>
    <row r="141" spans="1:20" x14ac:dyDescent="0.25">
      <c r="A141" s="59" t="s">
        <v>43</v>
      </c>
      <c r="B141" s="57"/>
      <c r="C141" s="57"/>
      <c r="D141" s="57"/>
      <c r="E141" s="57"/>
      <c r="F141" s="57"/>
      <c r="G141" s="57"/>
      <c r="H141" s="57"/>
      <c r="I141" s="58">
        <v>90</v>
      </c>
      <c r="J141" s="58">
        <v>90</v>
      </c>
      <c r="K141" s="58">
        <v>90</v>
      </c>
      <c r="L141" s="57">
        <v>92.8</v>
      </c>
      <c r="M141" s="57">
        <v>95.4</v>
      </c>
      <c r="N141" s="57">
        <v>99</v>
      </c>
      <c r="O141" s="57">
        <v>99</v>
      </c>
      <c r="P141" s="57">
        <v>99</v>
      </c>
      <c r="Q141" s="57">
        <v>99</v>
      </c>
      <c r="R141" s="57">
        <v>99</v>
      </c>
      <c r="S141" s="57">
        <v>99</v>
      </c>
      <c r="T141" s="57">
        <v>99</v>
      </c>
    </row>
    <row r="142" spans="1:20" x14ac:dyDescent="0.25">
      <c r="A142" s="59" t="s">
        <v>44</v>
      </c>
      <c r="B142" s="57"/>
      <c r="C142" s="57"/>
      <c r="D142" s="57"/>
      <c r="E142" s="57"/>
      <c r="F142" s="57"/>
      <c r="G142" s="57"/>
      <c r="H142" s="57"/>
      <c r="I142" s="58">
        <v>16.25</v>
      </c>
      <c r="J142" s="58">
        <v>34.090000000000003</v>
      </c>
      <c r="K142" s="58">
        <v>60</v>
      </c>
      <c r="L142" s="57">
        <v>35.299999999999997</v>
      </c>
      <c r="M142" s="57">
        <v>36.700000000000003</v>
      </c>
      <c r="N142" s="57">
        <v>99</v>
      </c>
      <c r="O142" s="57">
        <v>99</v>
      </c>
      <c r="P142" s="57">
        <v>99</v>
      </c>
      <c r="Q142" s="57">
        <v>99</v>
      </c>
      <c r="R142" s="57">
        <v>99</v>
      </c>
      <c r="S142" s="57">
        <v>99</v>
      </c>
      <c r="T142" s="57">
        <v>99</v>
      </c>
    </row>
    <row r="143" spans="1:20" x14ac:dyDescent="0.25">
      <c r="A143" s="59" t="s">
        <v>45</v>
      </c>
      <c r="B143" s="57"/>
      <c r="C143" s="57"/>
      <c r="D143" s="57"/>
      <c r="E143" s="57"/>
      <c r="F143" s="57"/>
      <c r="G143" s="57"/>
      <c r="H143" s="57"/>
      <c r="I143" s="57"/>
      <c r="J143" s="57"/>
      <c r="K143" s="57"/>
      <c r="L143" s="57"/>
      <c r="M143" s="57"/>
      <c r="N143" s="57"/>
      <c r="O143" s="57"/>
      <c r="P143" s="57"/>
      <c r="Q143" s="57"/>
      <c r="R143" s="57">
        <v>4.5</v>
      </c>
      <c r="S143" s="57">
        <v>33</v>
      </c>
      <c r="T143" s="57">
        <v>50</v>
      </c>
    </row>
    <row r="144" spans="1:20" x14ac:dyDescent="0.25">
      <c r="A144" s="9" t="s">
        <v>210</v>
      </c>
      <c r="B144" s="9"/>
      <c r="C144" s="9"/>
      <c r="D144" s="9"/>
      <c r="E144" s="9"/>
      <c r="F144" s="9"/>
      <c r="G144" s="9"/>
      <c r="H144" s="9"/>
      <c r="I144" s="9"/>
      <c r="J144" s="9"/>
      <c r="K144" s="9"/>
      <c r="L144" s="9"/>
      <c r="M144" s="9"/>
      <c r="N144" s="9"/>
      <c r="O144" s="9"/>
      <c r="P144" s="9"/>
      <c r="Q144" s="9"/>
      <c r="R144" s="9"/>
      <c r="S144" s="9"/>
      <c r="T144" s="9"/>
    </row>
    <row r="145" spans="1:20" x14ac:dyDescent="0.25">
      <c r="A145" s="59" t="s">
        <v>42</v>
      </c>
      <c r="B145" s="57"/>
      <c r="C145" s="57"/>
      <c r="D145" s="57"/>
      <c r="E145" s="57"/>
      <c r="F145" s="57"/>
      <c r="G145" s="57"/>
      <c r="H145" s="57"/>
      <c r="I145" s="57"/>
      <c r="J145" s="57"/>
      <c r="K145" s="57">
        <v>72</v>
      </c>
      <c r="L145" s="57">
        <v>78</v>
      </c>
      <c r="M145" s="57">
        <v>80</v>
      </c>
      <c r="N145" s="57">
        <v>80</v>
      </c>
      <c r="O145" s="57">
        <v>85</v>
      </c>
      <c r="P145" s="57">
        <v>85</v>
      </c>
      <c r="Q145" s="57">
        <v>85</v>
      </c>
      <c r="R145" s="57">
        <v>85</v>
      </c>
      <c r="S145" s="57">
        <v>87</v>
      </c>
      <c r="T145" s="57"/>
    </row>
    <row r="146" spans="1:20" x14ac:dyDescent="0.25">
      <c r="A146" s="59" t="s">
        <v>43</v>
      </c>
      <c r="B146" s="57"/>
      <c r="C146" s="57"/>
      <c r="D146" s="57"/>
      <c r="E146" s="57"/>
      <c r="F146" s="57"/>
      <c r="G146" s="57"/>
      <c r="H146" s="57"/>
      <c r="I146" s="58">
        <v>31.73</v>
      </c>
      <c r="J146" s="58">
        <v>31.73</v>
      </c>
      <c r="K146" s="58">
        <v>40</v>
      </c>
      <c r="L146" s="57">
        <v>40</v>
      </c>
      <c r="M146" s="57">
        <v>75</v>
      </c>
      <c r="N146" s="57">
        <v>80</v>
      </c>
      <c r="O146" s="57">
        <v>82</v>
      </c>
      <c r="P146" s="57">
        <v>82</v>
      </c>
      <c r="Q146" s="57">
        <v>85</v>
      </c>
      <c r="R146" s="57">
        <v>85</v>
      </c>
      <c r="S146" s="57">
        <v>85</v>
      </c>
      <c r="T146" s="58">
        <v>85</v>
      </c>
    </row>
    <row r="147" spans="1:20" x14ac:dyDescent="0.25">
      <c r="A147" s="59" t="s">
        <v>44</v>
      </c>
      <c r="B147" s="57"/>
      <c r="C147" s="57"/>
      <c r="D147" s="57"/>
      <c r="E147" s="57"/>
      <c r="F147" s="57"/>
      <c r="G147" s="57"/>
      <c r="H147" s="57"/>
      <c r="I147" s="57"/>
      <c r="J147" s="57"/>
      <c r="K147" s="57"/>
      <c r="L147" s="57">
        <v>0</v>
      </c>
      <c r="M147" s="57">
        <v>0</v>
      </c>
      <c r="N147" s="57">
        <v>0</v>
      </c>
      <c r="O147" s="57">
        <v>33</v>
      </c>
      <c r="P147" s="57">
        <v>40</v>
      </c>
      <c r="Q147" s="57">
        <v>50</v>
      </c>
      <c r="R147" s="57">
        <v>50</v>
      </c>
      <c r="S147" s="57">
        <v>60</v>
      </c>
      <c r="T147" s="58">
        <v>84</v>
      </c>
    </row>
    <row r="148" spans="1:20" x14ac:dyDescent="0.25">
      <c r="A148" s="59" t="s">
        <v>45</v>
      </c>
      <c r="B148" s="57"/>
      <c r="C148" s="57"/>
      <c r="D148" s="57"/>
      <c r="E148" s="57"/>
      <c r="F148" s="57"/>
      <c r="G148" s="57"/>
      <c r="H148" s="57"/>
      <c r="I148" s="57"/>
      <c r="J148" s="57"/>
      <c r="K148" s="57"/>
      <c r="L148" s="57"/>
      <c r="M148" s="57"/>
      <c r="N148" s="57"/>
      <c r="O148" s="57"/>
      <c r="P148" s="57"/>
      <c r="Q148" s="57"/>
      <c r="R148" s="57">
        <v>0</v>
      </c>
      <c r="S148" s="57">
        <v>5</v>
      </c>
      <c r="T148" s="57"/>
    </row>
    <row r="149" spans="1:20" x14ac:dyDescent="0.25">
      <c r="A149" s="9" t="s">
        <v>211</v>
      </c>
      <c r="B149" s="9"/>
      <c r="C149" s="9"/>
      <c r="D149" s="9"/>
      <c r="E149" s="9"/>
      <c r="F149" s="9"/>
      <c r="G149" s="9"/>
      <c r="H149" s="9"/>
      <c r="I149" s="9"/>
      <c r="J149" s="9"/>
      <c r="K149" s="9"/>
      <c r="L149" s="9"/>
      <c r="M149" s="9"/>
      <c r="N149" s="9"/>
      <c r="O149" s="9"/>
      <c r="P149" s="9"/>
      <c r="Q149" s="9"/>
      <c r="R149" s="9"/>
      <c r="S149" s="9"/>
      <c r="T149" s="9"/>
    </row>
    <row r="150" spans="1:20" x14ac:dyDescent="0.25">
      <c r="A150" s="59" t="s">
        <v>42</v>
      </c>
      <c r="B150" s="57">
        <v>88</v>
      </c>
      <c r="C150" s="57">
        <v>90</v>
      </c>
      <c r="D150" s="57">
        <v>95</v>
      </c>
      <c r="E150" s="57"/>
      <c r="F150" s="57">
        <v>78</v>
      </c>
      <c r="G150" s="57">
        <v>92</v>
      </c>
      <c r="H150" s="57">
        <v>100</v>
      </c>
      <c r="I150" s="57">
        <v>100</v>
      </c>
      <c r="J150" s="57">
        <v>100</v>
      </c>
      <c r="K150" s="57">
        <v>100</v>
      </c>
      <c r="L150" s="57">
        <v>100</v>
      </c>
      <c r="M150" s="57">
        <v>100</v>
      </c>
      <c r="N150" s="57">
        <v>100</v>
      </c>
      <c r="O150" s="57">
        <v>100</v>
      </c>
      <c r="P150" s="57">
        <v>100</v>
      </c>
      <c r="Q150" s="57">
        <v>100</v>
      </c>
      <c r="R150" s="57">
        <v>100</v>
      </c>
      <c r="S150" s="57">
        <v>100</v>
      </c>
      <c r="T150" s="57">
        <v>100</v>
      </c>
    </row>
    <row r="151" spans="1:20" x14ac:dyDescent="0.25">
      <c r="A151" s="59" t="s">
        <v>43</v>
      </c>
      <c r="B151" s="57"/>
      <c r="C151" s="57"/>
      <c r="D151" s="57"/>
      <c r="E151" s="57"/>
      <c r="F151" s="57"/>
      <c r="G151" s="57">
        <v>13</v>
      </c>
      <c r="H151" s="57">
        <v>23</v>
      </c>
      <c r="I151" s="57">
        <v>32</v>
      </c>
      <c r="J151" s="57">
        <v>37</v>
      </c>
      <c r="K151" s="57">
        <v>37</v>
      </c>
      <c r="L151" s="57">
        <v>50</v>
      </c>
      <c r="M151" s="57">
        <v>53</v>
      </c>
      <c r="N151" s="57">
        <v>53</v>
      </c>
      <c r="O151" s="57">
        <v>53</v>
      </c>
      <c r="P151" s="57">
        <v>69</v>
      </c>
      <c r="Q151" s="57">
        <v>89</v>
      </c>
      <c r="R151" s="57">
        <v>89</v>
      </c>
      <c r="S151" s="57">
        <v>89</v>
      </c>
      <c r="T151" s="57">
        <v>89</v>
      </c>
    </row>
    <row r="152" spans="1:20" x14ac:dyDescent="0.25">
      <c r="A152" s="59" t="s">
        <v>44</v>
      </c>
      <c r="B152" s="57"/>
      <c r="C152" s="57"/>
      <c r="D152" s="57"/>
      <c r="E152" s="57"/>
      <c r="F152" s="57"/>
      <c r="G152" s="57"/>
      <c r="H152" s="57"/>
      <c r="I152" s="57"/>
      <c r="J152" s="57"/>
      <c r="K152" s="57"/>
      <c r="L152" s="57">
        <v>37</v>
      </c>
      <c r="M152" s="57">
        <v>39</v>
      </c>
      <c r="N152" s="57">
        <v>39</v>
      </c>
      <c r="O152" s="57">
        <v>39</v>
      </c>
      <c r="P152" s="57">
        <v>39</v>
      </c>
      <c r="Q152" s="57">
        <v>39</v>
      </c>
      <c r="R152" s="57">
        <v>79</v>
      </c>
      <c r="S152" s="57">
        <v>79</v>
      </c>
      <c r="T152" s="57">
        <v>85</v>
      </c>
    </row>
    <row r="153" spans="1:20" x14ac:dyDescent="0.25">
      <c r="A153" s="59" t="s">
        <v>45</v>
      </c>
      <c r="B153" s="57"/>
      <c r="C153" s="57"/>
      <c r="D153" s="57"/>
      <c r="E153" s="57"/>
      <c r="F153" s="57"/>
      <c r="G153" s="57"/>
      <c r="H153" s="57"/>
      <c r="I153" s="57"/>
      <c r="J153" s="57"/>
      <c r="K153" s="57"/>
      <c r="L153" s="57"/>
      <c r="M153" s="57"/>
      <c r="N153" s="57"/>
      <c r="O153" s="57"/>
      <c r="P153" s="57"/>
      <c r="Q153" s="57">
        <v>0</v>
      </c>
      <c r="R153" s="57">
        <v>0</v>
      </c>
      <c r="S153" s="57">
        <v>0</v>
      </c>
      <c r="T153" s="57">
        <v>0</v>
      </c>
    </row>
    <row r="154" spans="1:20" x14ac:dyDescent="0.25">
      <c r="A154" s="9" t="s">
        <v>212</v>
      </c>
      <c r="B154" s="9"/>
      <c r="C154" s="9"/>
      <c r="D154" s="9"/>
      <c r="E154" s="9"/>
      <c r="F154" s="9"/>
      <c r="G154" s="9"/>
      <c r="H154" s="9"/>
      <c r="I154" s="9"/>
      <c r="J154" s="9"/>
      <c r="K154" s="9"/>
      <c r="L154" s="9"/>
      <c r="M154" s="9"/>
      <c r="N154" s="9"/>
      <c r="O154" s="9"/>
      <c r="P154" s="9"/>
      <c r="Q154" s="9"/>
      <c r="R154" s="9"/>
      <c r="S154" s="9"/>
      <c r="T154" s="9"/>
    </row>
    <row r="155" spans="1:20" x14ac:dyDescent="0.25">
      <c r="A155" s="59" t="s">
        <v>42</v>
      </c>
      <c r="B155" s="57">
        <v>15</v>
      </c>
      <c r="C155" s="57">
        <v>45</v>
      </c>
      <c r="D155" s="57"/>
      <c r="E155" s="57"/>
      <c r="F155" s="57"/>
      <c r="G155" s="57"/>
      <c r="H155" s="57">
        <v>75</v>
      </c>
      <c r="I155" s="57"/>
      <c r="J155" s="57"/>
      <c r="K155" s="57"/>
      <c r="L155" s="58">
        <v>80</v>
      </c>
      <c r="M155" s="57">
        <v>89</v>
      </c>
      <c r="N155" s="57">
        <v>92</v>
      </c>
      <c r="O155" s="57"/>
      <c r="P155" s="58">
        <v>92</v>
      </c>
      <c r="Q155" s="58">
        <v>92</v>
      </c>
      <c r="R155" s="58">
        <v>92</v>
      </c>
      <c r="S155" s="58">
        <v>92</v>
      </c>
      <c r="T155" s="57"/>
    </row>
    <row r="156" spans="1:20" x14ac:dyDescent="0.25">
      <c r="A156" s="59" t="s">
        <v>43</v>
      </c>
      <c r="B156" s="57"/>
      <c r="C156" s="57"/>
      <c r="D156" s="57"/>
      <c r="E156" s="57"/>
      <c r="F156" s="57"/>
      <c r="G156" s="57"/>
      <c r="H156" s="57"/>
      <c r="I156" s="57"/>
      <c r="J156" s="57"/>
      <c r="K156" s="58">
        <v>0</v>
      </c>
      <c r="L156" s="58">
        <v>10</v>
      </c>
      <c r="M156" s="57">
        <v>22</v>
      </c>
      <c r="N156" s="57">
        <v>24</v>
      </c>
      <c r="O156" s="57"/>
      <c r="P156" s="58">
        <v>24</v>
      </c>
      <c r="Q156" s="58">
        <v>24</v>
      </c>
      <c r="R156" s="58">
        <v>24</v>
      </c>
      <c r="S156" s="58">
        <v>24</v>
      </c>
      <c r="T156" s="58">
        <v>44</v>
      </c>
    </row>
    <row r="157" spans="1:20" x14ac:dyDescent="0.25">
      <c r="A157" s="59" t="s">
        <v>44</v>
      </c>
      <c r="B157" s="57"/>
      <c r="C157" s="57"/>
      <c r="D157" s="57"/>
      <c r="E157" s="57"/>
      <c r="F157" s="57"/>
      <c r="G157" s="57"/>
      <c r="H157" s="57"/>
      <c r="I157" s="57"/>
      <c r="J157" s="57"/>
      <c r="K157" s="58">
        <v>0</v>
      </c>
      <c r="L157" s="58">
        <v>0</v>
      </c>
      <c r="M157" s="57">
        <v>0</v>
      </c>
      <c r="N157" s="57">
        <v>0</v>
      </c>
      <c r="O157" s="57"/>
      <c r="P157" s="58">
        <v>10</v>
      </c>
      <c r="Q157" s="58">
        <v>15</v>
      </c>
      <c r="R157" s="58">
        <v>15</v>
      </c>
      <c r="S157" s="58">
        <v>17.5</v>
      </c>
      <c r="T157" s="58">
        <v>40</v>
      </c>
    </row>
    <row r="158" spans="1:20" x14ac:dyDescent="0.25">
      <c r="A158" s="59" t="s">
        <v>45</v>
      </c>
      <c r="B158" s="57"/>
      <c r="C158" s="57"/>
      <c r="D158" s="57"/>
      <c r="E158" s="57"/>
      <c r="F158" s="57"/>
      <c r="G158" s="57"/>
      <c r="H158" s="57"/>
      <c r="I158" s="57"/>
      <c r="J158" s="57"/>
      <c r="K158" s="57"/>
      <c r="L158" s="57"/>
      <c r="M158" s="57"/>
      <c r="N158" s="57"/>
      <c r="O158" s="57"/>
      <c r="P158" s="57"/>
      <c r="Q158" s="57"/>
      <c r="R158" s="58">
        <v>0</v>
      </c>
      <c r="S158" s="57"/>
      <c r="T158" s="57"/>
    </row>
    <row r="159" spans="1:20" x14ac:dyDescent="0.25">
      <c r="A159" s="9" t="s">
        <v>213</v>
      </c>
      <c r="B159" s="9"/>
      <c r="C159" s="9"/>
      <c r="D159" s="9"/>
      <c r="E159" s="9"/>
      <c r="F159" s="9"/>
      <c r="G159" s="9"/>
      <c r="H159" s="9"/>
      <c r="I159" s="9"/>
      <c r="J159" s="9"/>
      <c r="K159" s="9"/>
      <c r="L159" s="9"/>
      <c r="M159" s="9"/>
      <c r="N159" s="9"/>
      <c r="O159" s="9"/>
      <c r="P159" s="9"/>
      <c r="Q159" s="9"/>
      <c r="R159" s="9"/>
      <c r="S159" s="9"/>
      <c r="T159" s="9"/>
    </row>
    <row r="160" spans="1:20" x14ac:dyDescent="0.25">
      <c r="A160" s="59" t="s">
        <v>42</v>
      </c>
      <c r="B160" s="57">
        <v>58</v>
      </c>
      <c r="C160" s="57">
        <v>60</v>
      </c>
      <c r="D160" s="57"/>
      <c r="E160" s="57">
        <v>83</v>
      </c>
      <c r="F160" s="57">
        <v>90</v>
      </c>
      <c r="G160" s="57">
        <v>90</v>
      </c>
      <c r="H160" s="57">
        <v>68.489999999999995</v>
      </c>
      <c r="I160" s="57">
        <v>80.849999999999994</v>
      </c>
      <c r="J160" s="57">
        <v>91.15</v>
      </c>
      <c r="K160" s="57">
        <v>99.39</v>
      </c>
      <c r="L160" s="58">
        <v>92.1</v>
      </c>
      <c r="M160" s="57">
        <v>92.7</v>
      </c>
      <c r="N160" s="57">
        <v>92.7</v>
      </c>
      <c r="O160" s="57">
        <v>94.33</v>
      </c>
      <c r="P160" s="57">
        <v>89.8</v>
      </c>
      <c r="Q160" s="57">
        <v>90.8</v>
      </c>
      <c r="R160" s="57">
        <v>92.9</v>
      </c>
      <c r="S160" s="57">
        <v>93.9</v>
      </c>
      <c r="T160" s="57">
        <v>94.14</v>
      </c>
    </row>
    <row r="161" spans="1:20" x14ac:dyDescent="0.25">
      <c r="A161" s="59" t="s">
        <v>43</v>
      </c>
      <c r="B161" s="57"/>
      <c r="C161" s="57"/>
      <c r="D161" s="57"/>
      <c r="E161" s="57"/>
      <c r="F161" s="57"/>
      <c r="G161" s="57"/>
      <c r="H161" s="57"/>
      <c r="I161" s="57"/>
      <c r="J161" s="57"/>
      <c r="K161" s="58">
        <v>30</v>
      </c>
      <c r="L161" s="58">
        <v>40</v>
      </c>
      <c r="M161" s="57">
        <v>54</v>
      </c>
      <c r="N161" s="57">
        <v>54</v>
      </c>
      <c r="O161" s="57">
        <v>75.48</v>
      </c>
      <c r="P161" s="57">
        <v>74.2</v>
      </c>
      <c r="Q161" s="57">
        <v>74.489999999999995</v>
      </c>
      <c r="R161" s="57">
        <v>84.63</v>
      </c>
      <c r="S161" s="57">
        <v>86.82</v>
      </c>
      <c r="T161" s="57">
        <v>89.42</v>
      </c>
    </row>
    <row r="162" spans="1:20" x14ac:dyDescent="0.25">
      <c r="A162" s="59" t="s">
        <v>44</v>
      </c>
      <c r="B162" s="57"/>
      <c r="C162" s="57"/>
      <c r="D162" s="57"/>
      <c r="E162" s="57"/>
      <c r="F162" s="57"/>
      <c r="G162" s="57"/>
      <c r="H162" s="57"/>
      <c r="I162" s="57"/>
      <c r="J162" s="58">
        <v>8.64</v>
      </c>
      <c r="K162" s="57"/>
      <c r="L162" s="57"/>
      <c r="M162" s="57"/>
      <c r="N162" s="57"/>
      <c r="O162" s="57">
        <v>22.34</v>
      </c>
      <c r="P162" s="57">
        <v>37.799999999999997</v>
      </c>
      <c r="Q162" s="57">
        <v>40.53</v>
      </c>
      <c r="R162" s="57">
        <v>61.94</v>
      </c>
      <c r="S162" s="57">
        <v>80.86</v>
      </c>
      <c r="T162" s="57">
        <v>84.19</v>
      </c>
    </row>
    <row r="163" spans="1:20" x14ac:dyDescent="0.25">
      <c r="A163" s="59" t="s">
        <v>45</v>
      </c>
      <c r="B163" s="57"/>
      <c r="C163" s="57"/>
      <c r="D163" s="57"/>
      <c r="E163" s="57"/>
      <c r="F163" s="57"/>
      <c r="G163" s="57"/>
      <c r="H163" s="57"/>
      <c r="I163" s="57"/>
      <c r="J163" s="57"/>
      <c r="K163" s="57"/>
      <c r="L163" s="57"/>
      <c r="M163" s="57"/>
      <c r="N163" s="57"/>
      <c r="O163" s="57"/>
      <c r="P163" s="57"/>
      <c r="Q163" s="57"/>
      <c r="R163" s="57"/>
      <c r="S163" s="57"/>
      <c r="T163" s="57">
        <v>11.8</v>
      </c>
    </row>
    <row r="164" spans="1:20" x14ac:dyDescent="0.25">
      <c r="A164" s="9" t="s">
        <v>214</v>
      </c>
      <c r="B164" s="9"/>
      <c r="C164" s="9"/>
      <c r="D164" s="9"/>
      <c r="E164" s="9"/>
      <c r="F164" s="9"/>
      <c r="G164" s="9"/>
      <c r="H164" s="9"/>
      <c r="I164" s="9"/>
      <c r="J164" s="9"/>
      <c r="K164" s="9"/>
      <c r="L164" s="9"/>
      <c r="M164" s="9"/>
      <c r="N164" s="9"/>
      <c r="O164" s="9"/>
      <c r="P164" s="9"/>
      <c r="Q164" s="9"/>
      <c r="R164" s="9"/>
      <c r="S164" s="9"/>
      <c r="T164" s="9"/>
    </row>
    <row r="165" spans="1:20" x14ac:dyDescent="0.25">
      <c r="A165" s="59" t="s">
        <v>42</v>
      </c>
      <c r="B165" s="57">
        <v>75</v>
      </c>
      <c r="C165" s="57">
        <v>80</v>
      </c>
      <c r="D165" s="57">
        <v>90</v>
      </c>
      <c r="E165" s="57">
        <v>92</v>
      </c>
      <c r="F165" s="57">
        <v>96</v>
      </c>
      <c r="G165" s="57">
        <v>96</v>
      </c>
      <c r="H165" s="57">
        <v>97.32</v>
      </c>
      <c r="I165" s="57">
        <v>98.42</v>
      </c>
      <c r="J165" s="57">
        <v>99.31</v>
      </c>
      <c r="K165" s="57">
        <v>99.9</v>
      </c>
      <c r="L165" s="57">
        <v>99.98</v>
      </c>
      <c r="M165" s="57">
        <v>99.92</v>
      </c>
      <c r="N165" s="57">
        <v>99.92</v>
      </c>
      <c r="O165" s="57">
        <v>99.92</v>
      </c>
      <c r="P165" s="57">
        <v>99.94</v>
      </c>
      <c r="Q165" s="57">
        <v>99.94</v>
      </c>
      <c r="R165" s="57">
        <v>98.63</v>
      </c>
      <c r="S165" s="57">
        <v>98.76</v>
      </c>
      <c r="T165" s="57">
        <v>99.07</v>
      </c>
    </row>
    <row r="166" spans="1:20" x14ac:dyDescent="0.25">
      <c r="A166" s="59" t="s">
        <v>43</v>
      </c>
      <c r="B166" s="57"/>
      <c r="C166" s="57"/>
      <c r="D166" s="57"/>
      <c r="E166" s="57"/>
      <c r="F166" s="57"/>
      <c r="G166" s="57"/>
      <c r="H166" s="57"/>
      <c r="I166" s="58">
        <v>18.309999999999999</v>
      </c>
      <c r="J166" s="57">
        <v>88</v>
      </c>
      <c r="K166" s="57">
        <v>88</v>
      </c>
      <c r="L166" s="57">
        <v>88.01</v>
      </c>
      <c r="M166" s="57">
        <v>92.08</v>
      </c>
      <c r="N166" s="57">
        <v>93.37</v>
      </c>
      <c r="O166" s="57">
        <v>96.6</v>
      </c>
      <c r="P166" s="57">
        <v>98.9</v>
      </c>
      <c r="Q166" s="57">
        <v>98.07</v>
      </c>
      <c r="R166" s="57">
        <v>98.63</v>
      </c>
      <c r="S166" s="57">
        <v>98.76</v>
      </c>
      <c r="T166" s="57">
        <v>99.07</v>
      </c>
    </row>
    <row r="167" spans="1:20" x14ac:dyDescent="0.25">
      <c r="A167" s="59" t="s">
        <v>44</v>
      </c>
      <c r="B167" s="57"/>
      <c r="C167" s="57"/>
      <c r="D167" s="57"/>
      <c r="E167" s="57"/>
      <c r="F167" s="57"/>
      <c r="G167" s="57"/>
      <c r="H167" s="57"/>
      <c r="I167" s="57"/>
      <c r="J167" s="57"/>
      <c r="K167" s="57">
        <v>8</v>
      </c>
      <c r="L167" s="57">
        <v>20</v>
      </c>
      <c r="M167" s="57">
        <v>62</v>
      </c>
      <c r="N167" s="57">
        <v>89</v>
      </c>
      <c r="O167" s="57">
        <v>96.6</v>
      </c>
      <c r="P167" s="57">
        <v>98.9</v>
      </c>
      <c r="Q167" s="57">
        <v>98.07</v>
      </c>
      <c r="R167" s="57">
        <v>98.07</v>
      </c>
      <c r="S167" s="57">
        <v>98.76</v>
      </c>
      <c r="T167" s="57">
        <v>98.76</v>
      </c>
    </row>
    <row r="168" spans="1:20" x14ac:dyDescent="0.25">
      <c r="A168" s="59" t="s">
        <v>45</v>
      </c>
      <c r="B168" s="57"/>
      <c r="C168" s="57"/>
      <c r="D168" s="57"/>
      <c r="E168" s="57"/>
      <c r="F168" s="57"/>
      <c r="G168" s="57"/>
      <c r="H168" s="57"/>
      <c r="I168" s="57"/>
      <c r="J168" s="57"/>
      <c r="K168" s="57"/>
      <c r="L168" s="57"/>
      <c r="M168" s="57"/>
      <c r="N168" s="57"/>
      <c r="O168" s="57"/>
      <c r="P168" s="57"/>
      <c r="Q168" s="57"/>
      <c r="R168" s="57">
        <v>0</v>
      </c>
      <c r="S168" s="57">
        <v>0</v>
      </c>
      <c r="T168" s="57">
        <v>0</v>
      </c>
    </row>
    <row r="169" spans="1:20" x14ac:dyDescent="0.25">
      <c r="A169" s="9" t="s">
        <v>215</v>
      </c>
      <c r="B169" s="9"/>
      <c r="C169" s="9"/>
      <c r="D169" s="9"/>
      <c r="E169" s="9"/>
      <c r="F169" s="9"/>
      <c r="G169" s="9"/>
      <c r="H169" s="9"/>
      <c r="I169" s="9"/>
      <c r="J169" s="9"/>
      <c r="K169" s="9"/>
      <c r="L169" s="9"/>
      <c r="M169" s="9"/>
      <c r="N169" s="9"/>
      <c r="O169" s="9"/>
      <c r="P169" s="9"/>
      <c r="Q169" s="9"/>
      <c r="R169" s="9"/>
      <c r="S169" s="9"/>
      <c r="T169" s="9"/>
    </row>
    <row r="170" spans="1:20" x14ac:dyDescent="0.25">
      <c r="A170" s="59" t="s">
        <v>42</v>
      </c>
      <c r="B170" s="57">
        <v>8.3000000000000007</v>
      </c>
      <c r="C170" s="57">
        <v>12.5</v>
      </c>
      <c r="D170" s="57">
        <v>19.5</v>
      </c>
      <c r="E170" s="57">
        <v>70</v>
      </c>
      <c r="F170" s="57">
        <v>80</v>
      </c>
      <c r="G170" s="57">
        <v>57</v>
      </c>
      <c r="H170" s="57">
        <v>64</v>
      </c>
      <c r="I170" s="57">
        <v>70</v>
      </c>
      <c r="J170" s="57"/>
      <c r="K170" s="57"/>
      <c r="L170" s="57">
        <v>79</v>
      </c>
      <c r="M170" s="57">
        <v>92</v>
      </c>
      <c r="N170" s="57">
        <v>93</v>
      </c>
      <c r="O170" s="57">
        <v>93</v>
      </c>
      <c r="P170" s="57">
        <v>94</v>
      </c>
      <c r="Q170" s="57">
        <v>94</v>
      </c>
      <c r="R170" s="57">
        <v>94</v>
      </c>
      <c r="S170" s="57">
        <v>96</v>
      </c>
      <c r="T170" s="57">
        <v>97</v>
      </c>
    </row>
    <row r="171" spans="1:20" x14ac:dyDescent="0.25">
      <c r="A171" s="59" t="s">
        <v>43</v>
      </c>
      <c r="B171" s="57"/>
      <c r="C171" s="57"/>
      <c r="D171" s="57"/>
      <c r="E171" s="57"/>
      <c r="F171" s="57"/>
      <c r="G171" s="57"/>
      <c r="H171" s="57"/>
      <c r="I171" s="57">
        <v>2</v>
      </c>
      <c r="J171" s="57"/>
      <c r="K171" s="58">
        <v>13</v>
      </c>
      <c r="L171" s="57">
        <v>19</v>
      </c>
      <c r="M171" s="57">
        <v>70</v>
      </c>
      <c r="N171" s="57">
        <v>93</v>
      </c>
      <c r="O171" s="57">
        <v>93</v>
      </c>
      <c r="P171" s="57">
        <v>94</v>
      </c>
      <c r="Q171" s="57">
        <v>94</v>
      </c>
      <c r="R171" s="57">
        <v>94</v>
      </c>
      <c r="S171" s="57">
        <v>95</v>
      </c>
      <c r="T171" s="57">
        <v>96</v>
      </c>
    </row>
    <row r="172" spans="1:20" x14ac:dyDescent="0.25">
      <c r="A172" s="59" t="s">
        <v>44</v>
      </c>
      <c r="B172" s="57"/>
      <c r="C172" s="57"/>
      <c r="D172" s="57"/>
      <c r="E172" s="57"/>
      <c r="F172" s="57"/>
      <c r="G172" s="57"/>
      <c r="H172" s="57"/>
      <c r="I172" s="57"/>
      <c r="J172" s="57"/>
      <c r="K172" s="57"/>
      <c r="L172" s="57">
        <v>0</v>
      </c>
      <c r="M172" s="57">
        <v>0</v>
      </c>
      <c r="N172" s="57">
        <v>0</v>
      </c>
      <c r="O172" s="57">
        <v>0</v>
      </c>
      <c r="P172" s="57">
        <v>0</v>
      </c>
      <c r="Q172" s="57">
        <v>0</v>
      </c>
      <c r="R172" s="57">
        <v>0</v>
      </c>
      <c r="S172" s="57">
        <v>0</v>
      </c>
      <c r="T172" s="57">
        <v>0</v>
      </c>
    </row>
    <row r="173" spans="1:20" x14ac:dyDescent="0.25">
      <c r="A173" s="59" t="s">
        <v>45</v>
      </c>
      <c r="B173" s="57"/>
      <c r="C173" s="57"/>
      <c r="D173" s="57"/>
      <c r="E173" s="57"/>
      <c r="F173" s="57"/>
      <c r="G173" s="57"/>
      <c r="H173" s="57"/>
      <c r="I173" s="57"/>
      <c r="J173" s="57"/>
      <c r="K173" s="57"/>
      <c r="L173" s="57"/>
      <c r="M173" s="57"/>
      <c r="N173" s="57"/>
      <c r="O173" s="57"/>
      <c r="P173" s="57"/>
      <c r="Q173" s="57"/>
      <c r="R173" s="57">
        <v>0</v>
      </c>
      <c r="S173" s="57">
        <v>0</v>
      </c>
      <c r="T173" s="57">
        <v>0</v>
      </c>
    </row>
    <row r="174" spans="1:20" x14ac:dyDescent="0.25">
      <c r="A174" s="9" t="s">
        <v>216</v>
      </c>
      <c r="B174" s="9"/>
      <c r="C174" s="9"/>
      <c r="D174" s="9"/>
      <c r="E174" s="9"/>
      <c r="F174" s="9"/>
      <c r="G174" s="9"/>
      <c r="H174" s="9"/>
      <c r="I174" s="9"/>
      <c r="J174" s="9"/>
      <c r="K174" s="9"/>
      <c r="L174" s="9"/>
      <c r="M174" s="9"/>
      <c r="N174" s="9"/>
      <c r="O174" s="9"/>
      <c r="P174" s="9"/>
      <c r="Q174" s="9"/>
      <c r="R174" s="9"/>
      <c r="S174" s="9"/>
      <c r="T174" s="9"/>
    </row>
    <row r="175" spans="1:20" x14ac:dyDescent="0.25">
      <c r="A175" s="59" t="s">
        <v>42</v>
      </c>
      <c r="B175" s="57">
        <v>85</v>
      </c>
      <c r="C175" s="57">
        <v>83</v>
      </c>
      <c r="D175" s="57">
        <v>85</v>
      </c>
      <c r="E175" s="57">
        <v>86</v>
      </c>
      <c r="F175" s="57">
        <v>87</v>
      </c>
      <c r="G175" s="57">
        <v>90</v>
      </c>
      <c r="H175" s="57">
        <v>90</v>
      </c>
      <c r="I175" s="57">
        <v>91.1</v>
      </c>
      <c r="J175" s="57">
        <v>91.6</v>
      </c>
      <c r="K175" s="57">
        <v>91.6</v>
      </c>
      <c r="L175" s="57">
        <v>92</v>
      </c>
      <c r="M175" s="57">
        <v>97.4</v>
      </c>
      <c r="N175" s="57">
        <v>97.7</v>
      </c>
      <c r="O175" s="57">
        <v>97.9</v>
      </c>
      <c r="P175" s="57">
        <v>98</v>
      </c>
      <c r="Q175" s="57">
        <v>99</v>
      </c>
      <c r="R175" s="57">
        <v>99.4</v>
      </c>
      <c r="S175" s="57">
        <v>99.4</v>
      </c>
      <c r="T175" s="57">
        <v>99.5</v>
      </c>
    </row>
    <row r="176" spans="1:20" x14ac:dyDescent="0.25">
      <c r="A176" s="59" t="s">
        <v>43</v>
      </c>
      <c r="B176" s="57"/>
      <c r="C176" s="57"/>
      <c r="D176" s="57"/>
      <c r="E176" s="57"/>
      <c r="F176" s="57"/>
      <c r="G176" s="57"/>
      <c r="H176" s="57"/>
      <c r="I176" s="57"/>
      <c r="J176" s="57"/>
      <c r="K176" s="58">
        <v>25</v>
      </c>
      <c r="L176" s="58">
        <v>40</v>
      </c>
      <c r="M176" s="57">
        <v>50</v>
      </c>
      <c r="N176" s="57">
        <v>66.290000000000006</v>
      </c>
      <c r="O176" s="57">
        <v>92.2</v>
      </c>
      <c r="P176" s="57">
        <v>92.1</v>
      </c>
      <c r="Q176" s="57">
        <v>99</v>
      </c>
      <c r="R176" s="57">
        <v>99.4</v>
      </c>
      <c r="S176" s="57">
        <v>99.4</v>
      </c>
      <c r="T176" s="57">
        <v>99.5</v>
      </c>
    </row>
    <row r="177" spans="1:20" x14ac:dyDescent="0.25">
      <c r="A177" s="59" t="s">
        <v>44</v>
      </c>
      <c r="B177" s="57"/>
      <c r="C177" s="57"/>
      <c r="D177" s="57"/>
      <c r="E177" s="57"/>
      <c r="F177" s="57"/>
      <c r="G177" s="57"/>
      <c r="H177" s="57"/>
      <c r="I177" s="57"/>
      <c r="J177" s="57"/>
      <c r="K177" s="57"/>
      <c r="L177" s="58">
        <v>0</v>
      </c>
      <c r="M177" s="57">
        <v>8.6</v>
      </c>
      <c r="N177" s="57">
        <v>36.5</v>
      </c>
      <c r="O177" s="57">
        <v>62</v>
      </c>
      <c r="P177" s="57">
        <v>66.8</v>
      </c>
      <c r="Q177" s="57">
        <v>74.7</v>
      </c>
      <c r="R177" s="57">
        <v>83.05</v>
      </c>
      <c r="S177" s="57">
        <v>95.4</v>
      </c>
      <c r="T177" s="57">
        <v>97.5</v>
      </c>
    </row>
    <row r="178" spans="1:20" x14ac:dyDescent="0.25">
      <c r="A178" s="59" t="s">
        <v>45</v>
      </c>
      <c r="B178" s="57"/>
      <c r="C178" s="57"/>
      <c r="D178" s="57"/>
      <c r="E178" s="57"/>
      <c r="F178" s="57"/>
      <c r="G178" s="57"/>
      <c r="H178" s="57"/>
      <c r="I178" s="57"/>
      <c r="J178" s="57"/>
      <c r="K178" s="57"/>
      <c r="L178" s="57"/>
      <c r="M178" s="57"/>
      <c r="N178" s="57"/>
      <c r="O178" s="57"/>
      <c r="P178" s="57"/>
      <c r="Q178" s="57"/>
      <c r="R178" s="57">
        <v>0</v>
      </c>
      <c r="S178" s="57"/>
      <c r="T178" s="57"/>
    </row>
    <row r="179" spans="1:20" x14ac:dyDescent="0.25">
      <c r="A179" s="9" t="s">
        <v>217</v>
      </c>
      <c r="B179" s="9"/>
      <c r="C179" s="9"/>
      <c r="D179" s="9"/>
      <c r="E179" s="9"/>
      <c r="F179" s="9"/>
      <c r="G179" s="9"/>
      <c r="H179" s="9"/>
      <c r="I179" s="9"/>
      <c r="J179" s="9"/>
      <c r="K179" s="9"/>
      <c r="L179" s="9"/>
      <c r="M179" s="9"/>
      <c r="N179" s="9"/>
      <c r="O179" s="9"/>
      <c r="P179" s="9"/>
      <c r="Q179" s="9"/>
      <c r="R179" s="9"/>
      <c r="S179" s="9"/>
      <c r="T179" s="9"/>
    </row>
    <row r="180" spans="1:20" x14ac:dyDescent="0.25">
      <c r="A180" s="59" t="s">
        <v>42</v>
      </c>
      <c r="B180" s="57">
        <v>98</v>
      </c>
      <c r="C180" s="57">
        <v>98</v>
      </c>
      <c r="D180" s="57">
        <v>98</v>
      </c>
      <c r="E180" s="57">
        <v>98</v>
      </c>
      <c r="F180" s="57">
        <v>98</v>
      </c>
      <c r="G180" s="57"/>
      <c r="H180" s="57">
        <v>98</v>
      </c>
      <c r="I180" s="57">
        <v>98</v>
      </c>
      <c r="J180" s="57">
        <v>98</v>
      </c>
      <c r="K180" s="57">
        <v>98</v>
      </c>
      <c r="L180" s="57">
        <v>98</v>
      </c>
      <c r="M180" s="57">
        <v>98</v>
      </c>
      <c r="N180" s="57">
        <v>98</v>
      </c>
      <c r="O180" s="57">
        <v>99</v>
      </c>
      <c r="P180" s="57">
        <v>99</v>
      </c>
      <c r="Q180" s="57">
        <v>99</v>
      </c>
      <c r="R180" s="57">
        <v>99</v>
      </c>
      <c r="S180" s="57">
        <v>99</v>
      </c>
      <c r="T180" s="57">
        <v>99</v>
      </c>
    </row>
    <row r="181" spans="1:20" x14ac:dyDescent="0.25">
      <c r="A181" s="59" t="s">
        <v>43</v>
      </c>
      <c r="B181" s="57"/>
      <c r="C181" s="57"/>
      <c r="D181" s="57"/>
      <c r="E181" s="57"/>
      <c r="F181" s="57"/>
      <c r="G181" s="57"/>
      <c r="H181" s="57">
        <v>90</v>
      </c>
      <c r="I181" s="57">
        <v>90</v>
      </c>
      <c r="J181" s="57">
        <v>90</v>
      </c>
      <c r="K181" s="57">
        <v>90</v>
      </c>
      <c r="L181" s="57">
        <v>90</v>
      </c>
      <c r="M181" s="57">
        <v>90</v>
      </c>
      <c r="N181" s="57">
        <v>90</v>
      </c>
      <c r="O181" s="57">
        <v>98.5</v>
      </c>
      <c r="P181" s="57">
        <v>99</v>
      </c>
      <c r="Q181" s="57">
        <v>99</v>
      </c>
      <c r="R181" s="57">
        <v>99</v>
      </c>
      <c r="S181" s="57">
        <v>99</v>
      </c>
      <c r="T181" s="57">
        <v>99</v>
      </c>
    </row>
    <row r="182" spans="1:20" x14ac:dyDescent="0.25">
      <c r="A182" s="59" t="s">
        <v>44</v>
      </c>
      <c r="B182" s="57"/>
      <c r="C182" s="57"/>
      <c r="D182" s="57"/>
      <c r="E182" s="57"/>
      <c r="F182" s="57"/>
      <c r="G182" s="57"/>
      <c r="H182" s="57"/>
      <c r="I182" s="57"/>
      <c r="J182" s="57"/>
      <c r="K182" s="58">
        <v>10</v>
      </c>
      <c r="L182" s="58">
        <v>21.44</v>
      </c>
      <c r="M182" s="57">
        <v>41.14</v>
      </c>
      <c r="N182" s="57">
        <v>90</v>
      </c>
      <c r="O182" s="57">
        <v>98.5</v>
      </c>
      <c r="P182" s="57">
        <v>98.5</v>
      </c>
      <c r="Q182" s="57">
        <v>98.5</v>
      </c>
      <c r="R182" s="57">
        <v>98.5</v>
      </c>
      <c r="S182" s="57">
        <v>99</v>
      </c>
      <c r="T182" s="57">
        <v>99</v>
      </c>
    </row>
    <row r="183" spans="1:20" x14ac:dyDescent="0.25">
      <c r="A183" s="59" t="s">
        <v>45</v>
      </c>
      <c r="B183" s="57"/>
      <c r="C183" s="57"/>
      <c r="D183" s="57"/>
      <c r="E183" s="57"/>
      <c r="F183" s="57"/>
      <c r="G183" s="57"/>
      <c r="H183" s="57"/>
      <c r="I183" s="57"/>
      <c r="J183" s="57"/>
      <c r="K183" s="57"/>
      <c r="L183" s="57"/>
      <c r="M183" s="57"/>
      <c r="N183" s="57"/>
      <c r="O183" s="57"/>
      <c r="P183" s="57"/>
      <c r="Q183" s="57"/>
      <c r="R183" s="57"/>
      <c r="S183" s="57"/>
      <c r="T183" s="57"/>
    </row>
    <row r="184" spans="1:20" x14ac:dyDescent="0.25">
      <c r="A184" s="9" t="s">
        <v>218</v>
      </c>
      <c r="B184" s="9"/>
      <c r="C184" s="9"/>
      <c r="D184" s="9"/>
      <c r="E184" s="9"/>
      <c r="F184" s="9"/>
      <c r="G184" s="9"/>
      <c r="H184" s="9"/>
      <c r="I184" s="9"/>
      <c r="J184" s="9"/>
      <c r="K184" s="9"/>
      <c r="L184" s="9"/>
      <c r="M184" s="9"/>
      <c r="N184" s="9"/>
      <c r="O184" s="9"/>
      <c r="P184" s="9"/>
      <c r="Q184" s="9"/>
      <c r="R184" s="9"/>
      <c r="S184" s="9"/>
      <c r="T184" s="9"/>
    </row>
    <row r="185" spans="1:20" x14ac:dyDescent="0.25">
      <c r="A185" s="59" t="s">
        <v>42</v>
      </c>
      <c r="B185" s="57"/>
      <c r="C185" s="57">
        <v>70</v>
      </c>
      <c r="D185" s="57"/>
      <c r="E185" s="57"/>
      <c r="F185" s="57"/>
      <c r="G185" s="57"/>
      <c r="H185" s="57"/>
      <c r="I185" s="57"/>
      <c r="J185" s="57"/>
      <c r="K185" s="57"/>
      <c r="L185" s="58">
        <v>90</v>
      </c>
      <c r="M185" s="58">
        <v>90</v>
      </c>
      <c r="N185" s="57">
        <v>90</v>
      </c>
      <c r="O185" s="57">
        <v>74</v>
      </c>
      <c r="P185" s="57">
        <v>80</v>
      </c>
      <c r="Q185" s="57">
        <v>88.97</v>
      </c>
      <c r="R185" s="57">
        <v>93.2</v>
      </c>
      <c r="S185" s="58">
        <v>94.57</v>
      </c>
      <c r="T185" s="58">
        <v>96</v>
      </c>
    </row>
    <row r="186" spans="1:20" x14ac:dyDescent="0.25">
      <c r="A186" s="59" t="s">
        <v>43</v>
      </c>
      <c r="B186" s="57"/>
      <c r="C186" s="57"/>
      <c r="D186" s="57"/>
      <c r="E186" s="57"/>
      <c r="F186" s="57"/>
      <c r="G186" s="57"/>
      <c r="H186" s="57"/>
      <c r="I186" s="57"/>
      <c r="J186" s="57"/>
      <c r="K186" s="58">
        <v>20</v>
      </c>
      <c r="L186" s="58">
        <v>20</v>
      </c>
      <c r="M186" s="58">
        <v>40.020000000000003</v>
      </c>
      <c r="N186" s="57">
        <v>40.020000000000003</v>
      </c>
      <c r="O186" s="57">
        <v>50</v>
      </c>
      <c r="P186" s="57">
        <v>76</v>
      </c>
      <c r="Q186" s="57">
        <v>78.52</v>
      </c>
      <c r="R186" s="57">
        <v>79.900000000000006</v>
      </c>
      <c r="S186" s="58">
        <v>94.57</v>
      </c>
      <c r="T186" s="58">
        <v>96</v>
      </c>
    </row>
    <row r="187" spans="1:20" x14ac:dyDescent="0.25">
      <c r="A187" s="59" t="s">
        <v>44</v>
      </c>
      <c r="B187" s="57"/>
      <c r="C187" s="57"/>
      <c r="D187" s="57"/>
      <c r="E187" s="57"/>
      <c r="F187" s="57"/>
      <c r="G187" s="57"/>
      <c r="H187" s="57"/>
      <c r="I187" s="57"/>
      <c r="J187" s="57"/>
      <c r="K187" s="57"/>
      <c r="L187" s="58">
        <v>0</v>
      </c>
      <c r="M187" s="58">
        <v>0</v>
      </c>
      <c r="N187" s="57">
        <v>0</v>
      </c>
      <c r="O187" s="57"/>
      <c r="P187" s="57">
        <v>35</v>
      </c>
      <c r="Q187" s="57">
        <v>40</v>
      </c>
      <c r="R187" s="57">
        <v>48.64</v>
      </c>
      <c r="S187" s="58">
        <v>53.58</v>
      </c>
      <c r="T187" s="58">
        <v>75</v>
      </c>
    </row>
    <row r="188" spans="1:20" x14ac:dyDescent="0.25">
      <c r="A188" s="59" t="s">
        <v>45</v>
      </c>
      <c r="B188" s="57"/>
      <c r="C188" s="57"/>
      <c r="D188" s="57"/>
      <c r="E188" s="57"/>
      <c r="F188" s="57"/>
      <c r="G188" s="57"/>
      <c r="H188" s="57"/>
      <c r="I188" s="57"/>
      <c r="J188" s="57"/>
      <c r="K188" s="57"/>
      <c r="L188" s="57"/>
      <c r="M188" s="57"/>
      <c r="N188" s="57"/>
      <c r="O188" s="57"/>
      <c r="P188" s="57">
        <v>0</v>
      </c>
      <c r="Q188" s="57">
        <v>0</v>
      </c>
      <c r="R188" s="57">
        <v>0</v>
      </c>
      <c r="S188" s="57"/>
      <c r="T188" s="57"/>
    </row>
    <row r="189" spans="1:20" x14ac:dyDescent="0.25">
      <c r="A189" s="9" t="s">
        <v>219</v>
      </c>
      <c r="B189" s="9"/>
      <c r="C189" s="9"/>
      <c r="D189" s="9"/>
      <c r="E189" s="9"/>
      <c r="F189" s="9"/>
      <c r="G189" s="9"/>
      <c r="H189" s="9"/>
      <c r="I189" s="9"/>
      <c r="J189" s="9"/>
      <c r="K189" s="9"/>
      <c r="L189" s="9"/>
      <c r="M189" s="9"/>
      <c r="N189" s="9"/>
      <c r="O189" s="9"/>
      <c r="P189" s="9"/>
      <c r="Q189" s="9"/>
      <c r="R189" s="9"/>
      <c r="S189" s="9"/>
      <c r="T189" s="9"/>
    </row>
    <row r="190" spans="1:20" x14ac:dyDescent="0.25">
      <c r="A190" s="59" t="s">
        <v>42</v>
      </c>
      <c r="B190" s="57">
        <v>96</v>
      </c>
      <c r="C190" s="57">
        <v>97.1</v>
      </c>
      <c r="D190" s="57">
        <v>99.79</v>
      </c>
      <c r="E190" s="57">
        <v>99.79</v>
      </c>
      <c r="F190" s="57">
        <v>99.79</v>
      </c>
      <c r="G190" s="57">
        <v>99.79</v>
      </c>
      <c r="H190" s="57">
        <v>99.79</v>
      </c>
      <c r="I190" s="57">
        <v>99.79</v>
      </c>
      <c r="J190" s="57">
        <v>99.79</v>
      </c>
      <c r="K190" s="57">
        <v>99.9</v>
      </c>
      <c r="L190" s="57">
        <v>99.9</v>
      </c>
      <c r="M190" s="57">
        <v>99.6</v>
      </c>
      <c r="N190" s="57">
        <v>99.97</v>
      </c>
      <c r="O190" s="57">
        <v>99.97</v>
      </c>
      <c r="P190" s="57">
        <v>99.97</v>
      </c>
      <c r="Q190" s="57">
        <v>99.99</v>
      </c>
      <c r="R190" s="57">
        <v>99.97</v>
      </c>
      <c r="S190" s="57">
        <v>99.95</v>
      </c>
      <c r="T190" s="57">
        <v>99.88</v>
      </c>
    </row>
    <row r="191" spans="1:20" x14ac:dyDescent="0.25">
      <c r="A191" s="59" t="s">
        <v>43</v>
      </c>
      <c r="B191" s="57"/>
      <c r="C191" s="57"/>
      <c r="D191" s="57"/>
      <c r="E191" s="57"/>
      <c r="F191" s="57"/>
      <c r="G191" s="57"/>
      <c r="H191" s="57"/>
      <c r="I191" s="58">
        <v>84.25</v>
      </c>
      <c r="J191" s="58">
        <v>90.4</v>
      </c>
      <c r="K191" s="57">
        <v>95</v>
      </c>
      <c r="L191" s="57">
        <v>98</v>
      </c>
      <c r="M191" s="57">
        <v>98</v>
      </c>
      <c r="N191" s="57">
        <v>98.61</v>
      </c>
      <c r="O191" s="57">
        <v>99.51</v>
      </c>
      <c r="P191" s="57">
        <v>99.66</v>
      </c>
      <c r="Q191" s="57">
        <v>99.8</v>
      </c>
      <c r="R191" s="57">
        <v>99.88</v>
      </c>
      <c r="S191" s="57">
        <v>99.88</v>
      </c>
      <c r="T191" s="57">
        <v>99.78</v>
      </c>
    </row>
    <row r="192" spans="1:20" x14ac:dyDescent="0.25">
      <c r="A192" s="59" t="s">
        <v>44</v>
      </c>
      <c r="B192" s="57"/>
      <c r="C192" s="57"/>
      <c r="D192" s="57"/>
      <c r="E192" s="57"/>
      <c r="F192" s="57"/>
      <c r="G192" s="57"/>
      <c r="H192" s="57"/>
      <c r="I192" s="58">
        <v>5</v>
      </c>
      <c r="J192" s="58">
        <v>14.23</v>
      </c>
      <c r="K192" s="57">
        <v>34</v>
      </c>
      <c r="L192" s="57">
        <v>54</v>
      </c>
      <c r="M192" s="57">
        <v>73</v>
      </c>
      <c r="N192" s="57">
        <v>77.62</v>
      </c>
      <c r="O192" s="57">
        <v>90.32</v>
      </c>
      <c r="P192" s="57">
        <v>94.41</v>
      </c>
      <c r="Q192" s="57">
        <v>96.45</v>
      </c>
      <c r="R192" s="57">
        <v>97.94</v>
      </c>
      <c r="S192" s="57">
        <v>98.47</v>
      </c>
      <c r="T192" s="57">
        <v>98.95</v>
      </c>
    </row>
    <row r="193" spans="1:20" x14ac:dyDescent="0.25">
      <c r="A193" s="59" t="s">
        <v>45</v>
      </c>
      <c r="B193" s="57"/>
      <c r="C193" s="57"/>
      <c r="D193" s="57"/>
      <c r="E193" s="57"/>
      <c r="F193" s="57"/>
      <c r="G193" s="57"/>
      <c r="H193" s="57"/>
      <c r="I193" s="57"/>
      <c r="J193" s="57"/>
      <c r="K193" s="57"/>
      <c r="L193" s="57"/>
      <c r="M193" s="57"/>
      <c r="N193" s="57"/>
      <c r="O193" s="57"/>
      <c r="P193" s="57"/>
      <c r="Q193" s="57">
        <v>0.96</v>
      </c>
      <c r="R193" s="57">
        <v>16.579999999999998</v>
      </c>
      <c r="S193" s="57">
        <v>23.69</v>
      </c>
      <c r="T193" s="57">
        <v>41.76</v>
      </c>
    </row>
    <row r="194" spans="1:20" x14ac:dyDescent="0.25">
      <c r="A194" s="9" t="s">
        <v>220</v>
      </c>
      <c r="B194" s="9"/>
      <c r="C194" s="9"/>
      <c r="D194" s="9"/>
      <c r="E194" s="9"/>
      <c r="F194" s="9"/>
      <c r="G194" s="9"/>
      <c r="H194" s="9"/>
      <c r="I194" s="9"/>
      <c r="J194" s="9"/>
      <c r="K194" s="9"/>
      <c r="L194" s="9"/>
      <c r="M194" s="9"/>
      <c r="N194" s="9"/>
      <c r="O194" s="9"/>
      <c r="P194" s="9"/>
      <c r="Q194" s="9"/>
      <c r="R194" s="9"/>
      <c r="S194" s="9"/>
      <c r="T194" s="9"/>
    </row>
    <row r="195" spans="1:20" x14ac:dyDescent="0.25">
      <c r="A195" s="59" t="s">
        <v>42</v>
      </c>
      <c r="B195" s="57"/>
      <c r="C195" s="57"/>
      <c r="D195" s="57"/>
      <c r="E195" s="57"/>
      <c r="F195" s="57"/>
      <c r="G195" s="57"/>
      <c r="H195" s="57"/>
      <c r="I195" s="57"/>
      <c r="J195" s="57">
        <v>41.6</v>
      </c>
      <c r="K195" s="57"/>
      <c r="L195" s="57"/>
      <c r="M195" s="57">
        <v>31</v>
      </c>
      <c r="N195" s="57">
        <v>30</v>
      </c>
      <c r="O195" s="57">
        <v>38</v>
      </c>
      <c r="P195" s="57">
        <v>48</v>
      </c>
      <c r="Q195" s="57">
        <v>48</v>
      </c>
      <c r="R195" s="57">
        <v>48</v>
      </c>
      <c r="S195" s="57">
        <v>48</v>
      </c>
      <c r="T195" s="57">
        <v>65.25</v>
      </c>
    </row>
    <row r="196" spans="1:20" x14ac:dyDescent="0.25">
      <c r="A196" s="59" t="s">
        <v>43</v>
      </c>
      <c r="B196" s="57"/>
      <c r="C196" s="57"/>
      <c r="D196" s="57"/>
      <c r="E196" s="57"/>
      <c r="F196" s="57"/>
      <c r="G196" s="57"/>
      <c r="H196" s="57"/>
      <c r="I196" s="57"/>
      <c r="J196" s="57">
        <v>17</v>
      </c>
      <c r="K196" s="58">
        <v>20</v>
      </c>
      <c r="L196" s="58">
        <v>15</v>
      </c>
      <c r="M196" s="57">
        <v>15</v>
      </c>
      <c r="N196" s="57">
        <v>15</v>
      </c>
      <c r="O196" s="57">
        <v>15</v>
      </c>
      <c r="P196" s="57">
        <v>15</v>
      </c>
      <c r="Q196" s="57">
        <v>15</v>
      </c>
      <c r="R196" s="57">
        <v>15</v>
      </c>
      <c r="S196" s="57">
        <v>15</v>
      </c>
      <c r="T196" s="57">
        <v>18</v>
      </c>
    </row>
    <row r="197" spans="1:20" x14ac:dyDescent="0.25">
      <c r="A197" s="59" t="s">
        <v>44</v>
      </c>
      <c r="B197" s="57"/>
      <c r="C197" s="57"/>
      <c r="D197" s="57"/>
      <c r="E197" s="57"/>
      <c r="F197" s="57"/>
      <c r="G197" s="57"/>
      <c r="H197" s="57"/>
      <c r="I197" s="57"/>
      <c r="J197" s="57"/>
      <c r="K197" s="57"/>
      <c r="L197" s="57">
        <v>10</v>
      </c>
      <c r="M197" s="57">
        <v>10</v>
      </c>
      <c r="N197" s="57">
        <v>10</v>
      </c>
      <c r="O197" s="57">
        <v>10</v>
      </c>
      <c r="P197" s="57">
        <v>15</v>
      </c>
      <c r="Q197" s="57">
        <v>15</v>
      </c>
      <c r="R197" s="57">
        <v>15</v>
      </c>
      <c r="S197" s="57">
        <v>15</v>
      </c>
      <c r="T197" s="57">
        <v>15</v>
      </c>
    </row>
    <row r="198" spans="1:20" x14ac:dyDescent="0.25">
      <c r="A198" s="59" t="s">
        <v>45</v>
      </c>
      <c r="B198" s="57"/>
      <c r="C198" s="57"/>
      <c r="D198" s="57"/>
      <c r="E198" s="57"/>
      <c r="F198" s="57"/>
      <c r="G198" s="57"/>
      <c r="H198" s="57"/>
      <c r="I198" s="57"/>
      <c r="J198" s="57"/>
      <c r="K198" s="57"/>
      <c r="L198" s="57"/>
      <c r="M198" s="57"/>
      <c r="N198" s="57"/>
      <c r="O198" s="57"/>
      <c r="P198" s="57"/>
      <c r="Q198" s="57"/>
      <c r="R198" s="57">
        <v>0</v>
      </c>
      <c r="S198" s="57">
        <v>0</v>
      </c>
      <c r="T198" s="57">
        <v>0</v>
      </c>
    </row>
    <row r="199" spans="1:20" x14ac:dyDescent="0.25">
      <c r="A199" s="9" t="s">
        <v>221</v>
      </c>
      <c r="B199" s="9"/>
      <c r="C199" s="9"/>
      <c r="D199" s="9"/>
      <c r="E199" s="9"/>
      <c r="F199" s="9"/>
      <c r="G199" s="9"/>
      <c r="H199" s="9"/>
      <c r="I199" s="9"/>
      <c r="J199" s="9"/>
      <c r="K199" s="9"/>
      <c r="L199" s="9"/>
      <c r="M199" s="9"/>
      <c r="N199" s="9"/>
      <c r="O199" s="9"/>
      <c r="P199" s="9"/>
      <c r="Q199" s="9"/>
      <c r="R199" s="9"/>
      <c r="S199" s="9"/>
      <c r="T199" s="9"/>
    </row>
    <row r="200" spans="1:20" x14ac:dyDescent="0.25">
      <c r="A200" s="59" t="s">
        <v>42</v>
      </c>
      <c r="B200" s="57">
        <v>45</v>
      </c>
      <c r="C200" s="57">
        <v>56</v>
      </c>
      <c r="D200" s="57">
        <v>65</v>
      </c>
      <c r="E200" s="57">
        <v>70</v>
      </c>
      <c r="F200" s="57">
        <v>85</v>
      </c>
      <c r="G200" s="57">
        <v>85</v>
      </c>
      <c r="H200" s="57">
        <v>90</v>
      </c>
      <c r="I200" s="57">
        <v>95</v>
      </c>
      <c r="J200" s="57">
        <v>95</v>
      </c>
      <c r="K200" s="57">
        <v>95</v>
      </c>
      <c r="L200" s="57">
        <v>95</v>
      </c>
      <c r="M200" s="57">
        <v>95</v>
      </c>
      <c r="N200" s="57">
        <v>95</v>
      </c>
      <c r="O200" s="57">
        <v>95</v>
      </c>
      <c r="P200" s="57">
        <v>95</v>
      </c>
      <c r="Q200" s="57">
        <v>95</v>
      </c>
      <c r="R200" s="57">
        <v>95</v>
      </c>
      <c r="S200" s="57">
        <v>95</v>
      </c>
      <c r="T200" s="57">
        <v>98</v>
      </c>
    </row>
    <row r="201" spans="1:20" x14ac:dyDescent="0.25">
      <c r="A201" s="59" t="s">
        <v>43</v>
      </c>
      <c r="B201" s="57"/>
      <c r="C201" s="57"/>
      <c r="D201" s="57"/>
      <c r="E201" s="57"/>
      <c r="F201" s="57"/>
      <c r="G201" s="57">
        <v>70</v>
      </c>
      <c r="H201" s="57">
        <v>80</v>
      </c>
      <c r="I201" s="57">
        <v>85</v>
      </c>
      <c r="J201" s="57">
        <v>85</v>
      </c>
      <c r="K201" s="57">
        <v>85</v>
      </c>
      <c r="L201" s="57">
        <v>85</v>
      </c>
      <c r="M201" s="57">
        <v>85</v>
      </c>
      <c r="N201" s="57">
        <v>85</v>
      </c>
      <c r="O201" s="57">
        <v>85</v>
      </c>
      <c r="P201" s="57">
        <v>85</v>
      </c>
      <c r="Q201" s="57">
        <v>85</v>
      </c>
      <c r="R201" s="57">
        <v>85</v>
      </c>
      <c r="S201" s="57">
        <v>85</v>
      </c>
      <c r="T201" s="57">
        <v>86</v>
      </c>
    </row>
    <row r="202" spans="1:20" x14ac:dyDescent="0.25">
      <c r="A202" s="59" t="s">
        <v>44</v>
      </c>
      <c r="B202" s="57"/>
      <c r="C202" s="57"/>
      <c r="D202" s="57"/>
      <c r="E202" s="57"/>
      <c r="F202" s="57"/>
      <c r="G202" s="57"/>
      <c r="H202" s="57"/>
      <c r="I202" s="58">
        <v>5.34</v>
      </c>
      <c r="J202" s="58">
        <v>12.76</v>
      </c>
      <c r="K202" s="58">
        <v>25</v>
      </c>
      <c r="L202" s="57">
        <v>13</v>
      </c>
      <c r="M202" s="57">
        <v>13</v>
      </c>
      <c r="N202" s="57">
        <v>13</v>
      </c>
      <c r="O202" s="57">
        <v>13</v>
      </c>
      <c r="P202" s="57">
        <v>13</v>
      </c>
      <c r="Q202" s="57">
        <v>13</v>
      </c>
      <c r="R202" s="57">
        <v>13</v>
      </c>
      <c r="S202" s="57">
        <v>58</v>
      </c>
      <c r="T202" s="57">
        <v>79</v>
      </c>
    </row>
    <row r="203" spans="1:20" x14ac:dyDescent="0.25">
      <c r="A203" s="59" t="s">
        <v>45</v>
      </c>
      <c r="B203" s="57"/>
      <c r="C203" s="57"/>
      <c r="D203" s="57"/>
      <c r="E203" s="57"/>
      <c r="F203" s="57"/>
      <c r="G203" s="57"/>
      <c r="H203" s="57"/>
      <c r="I203" s="57"/>
      <c r="J203" s="57"/>
      <c r="K203" s="57"/>
      <c r="L203" s="57"/>
      <c r="M203" s="57"/>
      <c r="N203" s="57"/>
      <c r="O203" s="57"/>
      <c r="P203" s="57"/>
      <c r="Q203" s="57"/>
      <c r="R203" s="57">
        <v>0</v>
      </c>
      <c r="S203" s="57">
        <v>0</v>
      </c>
      <c r="T203" s="57">
        <v>0</v>
      </c>
    </row>
    <row r="204" spans="1:20" x14ac:dyDescent="0.25">
      <c r="A204" s="9" t="s">
        <v>222</v>
      </c>
      <c r="B204" s="9"/>
      <c r="C204" s="9"/>
      <c r="D204" s="9"/>
      <c r="E204" s="9"/>
      <c r="F204" s="9"/>
      <c r="G204" s="9"/>
      <c r="H204" s="9"/>
      <c r="I204" s="9"/>
      <c r="J204" s="9"/>
      <c r="K204" s="9"/>
      <c r="L204" s="9"/>
      <c r="M204" s="9"/>
      <c r="N204" s="9"/>
      <c r="O204" s="9"/>
      <c r="P204" s="9"/>
      <c r="Q204" s="9"/>
      <c r="R204" s="9"/>
      <c r="S204" s="9"/>
      <c r="T204" s="9"/>
    </row>
    <row r="205" spans="1:20" x14ac:dyDescent="0.25">
      <c r="A205" s="59" t="s">
        <v>42</v>
      </c>
      <c r="B205" s="57">
        <v>85</v>
      </c>
      <c r="C205" s="57">
        <v>85</v>
      </c>
      <c r="D205" s="57">
        <v>85</v>
      </c>
      <c r="E205" s="57"/>
      <c r="F205" s="57"/>
      <c r="G205" s="57">
        <v>75</v>
      </c>
      <c r="H205" s="57">
        <v>91</v>
      </c>
      <c r="I205" s="57">
        <v>91</v>
      </c>
      <c r="J205" s="57"/>
      <c r="K205" s="57">
        <v>91</v>
      </c>
      <c r="L205" s="57">
        <v>93</v>
      </c>
      <c r="M205" s="57">
        <v>91</v>
      </c>
      <c r="N205" s="57">
        <v>97</v>
      </c>
      <c r="O205" s="57">
        <v>97</v>
      </c>
      <c r="P205" s="57">
        <v>97</v>
      </c>
      <c r="Q205" s="57">
        <v>98</v>
      </c>
      <c r="R205" s="57">
        <v>98</v>
      </c>
      <c r="S205" s="57">
        <v>99</v>
      </c>
      <c r="T205" s="57">
        <v>99.7</v>
      </c>
    </row>
    <row r="206" spans="1:20" x14ac:dyDescent="0.25">
      <c r="A206" s="59" t="s">
        <v>43</v>
      </c>
      <c r="B206" s="57"/>
      <c r="C206" s="57"/>
      <c r="D206" s="57"/>
      <c r="E206" s="57"/>
      <c r="F206" s="57"/>
      <c r="G206" s="57">
        <v>0</v>
      </c>
      <c r="H206" s="57">
        <v>14</v>
      </c>
      <c r="I206" s="57">
        <v>23</v>
      </c>
      <c r="J206" s="57"/>
      <c r="K206" s="58">
        <v>23</v>
      </c>
      <c r="L206" s="57">
        <v>50</v>
      </c>
      <c r="M206" s="57">
        <v>45</v>
      </c>
      <c r="N206" s="57">
        <v>65</v>
      </c>
      <c r="O206" s="57">
        <v>70</v>
      </c>
      <c r="P206" s="57">
        <v>91</v>
      </c>
      <c r="Q206" s="57">
        <v>97</v>
      </c>
      <c r="R206" s="57">
        <v>97</v>
      </c>
      <c r="S206" s="57">
        <v>99</v>
      </c>
      <c r="T206" s="57">
        <v>99.7</v>
      </c>
    </row>
    <row r="207" spans="1:20" x14ac:dyDescent="0.25">
      <c r="A207" s="59" t="s">
        <v>44</v>
      </c>
      <c r="B207" s="57"/>
      <c r="C207" s="57"/>
      <c r="D207" s="57"/>
      <c r="E207" s="57"/>
      <c r="F207" s="57"/>
      <c r="G207" s="57"/>
      <c r="H207" s="57"/>
      <c r="I207" s="57"/>
      <c r="J207" s="57"/>
      <c r="K207" s="57"/>
      <c r="L207" s="58">
        <v>0</v>
      </c>
      <c r="M207" s="57">
        <v>0</v>
      </c>
      <c r="N207" s="57">
        <v>0</v>
      </c>
      <c r="O207" s="57">
        <v>35</v>
      </c>
      <c r="P207" s="57">
        <v>67</v>
      </c>
      <c r="Q207" s="57">
        <v>67</v>
      </c>
      <c r="R207" s="57">
        <v>83</v>
      </c>
      <c r="S207" s="57">
        <v>96</v>
      </c>
      <c r="T207" s="57">
        <v>99.7</v>
      </c>
    </row>
    <row r="208" spans="1:20" x14ac:dyDescent="0.25">
      <c r="A208" s="59" t="s">
        <v>45</v>
      </c>
      <c r="B208" s="57"/>
      <c r="C208" s="57"/>
      <c r="D208" s="57"/>
      <c r="E208" s="57"/>
      <c r="F208" s="57"/>
      <c r="G208" s="57"/>
      <c r="H208" s="57"/>
      <c r="I208" s="57"/>
      <c r="J208" s="57"/>
      <c r="K208" s="57"/>
      <c r="L208" s="57"/>
      <c r="M208" s="57"/>
      <c r="N208" s="57"/>
      <c r="O208" s="57"/>
      <c r="P208" s="57"/>
      <c r="Q208" s="57"/>
      <c r="R208" s="57"/>
      <c r="S208" s="57"/>
      <c r="T208" s="57"/>
    </row>
    <row r="209" spans="1:20" x14ac:dyDescent="0.25">
      <c r="A209" s="9" t="s">
        <v>223</v>
      </c>
      <c r="B209" s="9"/>
      <c r="C209" s="9"/>
      <c r="D209" s="9"/>
      <c r="E209" s="9"/>
      <c r="F209" s="9"/>
      <c r="G209" s="9"/>
      <c r="H209" s="9"/>
      <c r="I209" s="9"/>
      <c r="J209" s="9"/>
      <c r="K209" s="9"/>
      <c r="L209" s="9"/>
      <c r="M209" s="9"/>
      <c r="N209" s="9"/>
      <c r="O209" s="9"/>
      <c r="P209" s="9"/>
      <c r="Q209" s="9"/>
      <c r="R209" s="9"/>
      <c r="S209" s="9"/>
      <c r="T209" s="9"/>
    </row>
    <row r="210" spans="1:20" x14ac:dyDescent="0.25">
      <c r="A210" s="59" t="s">
        <v>42</v>
      </c>
      <c r="B210" s="57">
        <v>70</v>
      </c>
      <c r="C210" s="57">
        <v>80</v>
      </c>
      <c r="D210" s="57">
        <v>80</v>
      </c>
      <c r="E210" s="57">
        <v>100</v>
      </c>
      <c r="F210" s="57">
        <v>100</v>
      </c>
      <c r="G210" s="57">
        <v>100</v>
      </c>
      <c r="H210" s="57">
        <v>100</v>
      </c>
      <c r="I210" s="57">
        <v>100</v>
      </c>
      <c r="J210" s="57"/>
      <c r="K210" s="57"/>
      <c r="L210" s="57">
        <v>91</v>
      </c>
      <c r="M210" s="57">
        <v>93</v>
      </c>
      <c r="N210" s="57">
        <v>93</v>
      </c>
      <c r="O210" s="57">
        <v>98</v>
      </c>
      <c r="P210" s="57">
        <v>98</v>
      </c>
      <c r="Q210" s="57">
        <v>98</v>
      </c>
      <c r="R210" s="57">
        <v>98</v>
      </c>
      <c r="S210" s="57">
        <v>98</v>
      </c>
      <c r="T210" s="57">
        <v>98</v>
      </c>
    </row>
    <row r="211" spans="1:20" x14ac:dyDescent="0.25">
      <c r="A211" s="59" t="s">
        <v>43</v>
      </c>
      <c r="B211" s="57"/>
      <c r="C211" s="57"/>
      <c r="D211" s="57"/>
      <c r="E211" s="57"/>
      <c r="F211" s="57"/>
      <c r="G211" s="57">
        <v>42</v>
      </c>
      <c r="H211" s="57">
        <v>42</v>
      </c>
      <c r="I211" s="57">
        <v>45</v>
      </c>
      <c r="J211" s="57"/>
      <c r="K211" s="57">
        <v>40</v>
      </c>
      <c r="L211" s="57">
        <v>60</v>
      </c>
      <c r="M211" s="57">
        <v>64</v>
      </c>
      <c r="N211" s="57">
        <v>65</v>
      </c>
      <c r="O211" s="57">
        <v>69.63</v>
      </c>
      <c r="P211" s="57">
        <v>74</v>
      </c>
      <c r="Q211" s="57">
        <v>85</v>
      </c>
      <c r="R211" s="57">
        <v>85</v>
      </c>
      <c r="S211" s="57">
        <v>85</v>
      </c>
      <c r="T211" s="57">
        <v>86</v>
      </c>
    </row>
    <row r="212" spans="1:20" x14ac:dyDescent="0.25">
      <c r="A212" s="59" t="s">
        <v>44</v>
      </c>
      <c r="B212" s="57"/>
      <c r="C212" s="57"/>
      <c r="D212" s="57"/>
      <c r="E212" s="57"/>
      <c r="F212" s="57"/>
      <c r="G212" s="57"/>
      <c r="H212" s="57"/>
      <c r="I212" s="58">
        <v>4</v>
      </c>
      <c r="J212" s="58">
        <v>7.69</v>
      </c>
      <c r="K212" s="58">
        <v>15</v>
      </c>
      <c r="L212" s="57">
        <v>10</v>
      </c>
      <c r="M212" s="57">
        <v>15</v>
      </c>
      <c r="N212" s="57">
        <v>17</v>
      </c>
      <c r="O212" s="57"/>
      <c r="P212" s="57">
        <v>40</v>
      </c>
      <c r="Q212" s="57">
        <v>31</v>
      </c>
      <c r="R212" s="57">
        <v>31</v>
      </c>
      <c r="S212" s="57">
        <v>31</v>
      </c>
      <c r="T212" s="57">
        <v>40</v>
      </c>
    </row>
    <row r="213" spans="1:20" x14ac:dyDescent="0.25">
      <c r="A213" s="59" t="s">
        <v>45</v>
      </c>
      <c r="B213" s="57"/>
      <c r="C213" s="57"/>
      <c r="D213" s="57"/>
      <c r="E213" s="57"/>
      <c r="F213" s="57"/>
      <c r="G213" s="57"/>
      <c r="H213" s="57"/>
      <c r="I213" s="57"/>
      <c r="J213" s="57"/>
      <c r="K213" s="57"/>
      <c r="L213" s="57"/>
      <c r="M213" s="57"/>
      <c r="N213" s="57"/>
      <c r="O213" s="57"/>
      <c r="P213" s="57"/>
      <c r="Q213" s="57"/>
      <c r="R213" s="57">
        <v>0</v>
      </c>
      <c r="S213" s="57">
        <v>0</v>
      </c>
      <c r="T213" s="57"/>
    </row>
    <row r="214" spans="1:20" x14ac:dyDescent="0.25">
      <c r="A214" s="9" t="s">
        <v>224</v>
      </c>
      <c r="B214" s="9"/>
      <c r="C214" s="9"/>
      <c r="D214" s="9"/>
      <c r="E214" s="9"/>
      <c r="F214" s="9"/>
      <c r="G214" s="9"/>
      <c r="H214" s="9"/>
      <c r="I214" s="9"/>
      <c r="J214" s="9"/>
      <c r="K214" s="9"/>
      <c r="L214" s="9"/>
      <c r="M214" s="9"/>
      <c r="N214" s="9"/>
      <c r="O214" s="9"/>
      <c r="P214" s="9"/>
      <c r="Q214" s="9"/>
      <c r="R214" s="9"/>
      <c r="S214" s="9"/>
      <c r="T214" s="9"/>
    </row>
    <row r="215" spans="1:20" x14ac:dyDescent="0.25">
      <c r="A215" s="59" t="s">
        <v>42</v>
      </c>
      <c r="B215" s="57">
        <v>65</v>
      </c>
      <c r="C215" s="57">
        <v>46</v>
      </c>
      <c r="D215" s="57">
        <v>78</v>
      </c>
      <c r="E215" s="57">
        <v>85</v>
      </c>
      <c r="F215" s="57">
        <v>90</v>
      </c>
      <c r="G215" s="57">
        <v>90</v>
      </c>
      <c r="H215" s="57">
        <v>62</v>
      </c>
      <c r="I215" s="57">
        <v>78</v>
      </c>
      <c r="J215" s="57">
        <v>78</v>
      </c>
      <c r="K215" s="57">
        <v>78</v>
      </c>
      <c r="L215" s="57">
        <v>93</v>
      </c>
      <c r="M215" s="57">
        <v>93</v>
      </c>
      <c r="N215" s="57">
        <v>93</v>
      </c>
      <c r="O215" s="57">
        <v>86.9</v>
      </c>
      <c r="P215" s="57">
        <v>86.9</v>
      </c>
      <c r="Q215" s="57">
        <v>82.3</v>
      </c>
      <c r="R215" s="57">
        <v>97.1</v>
      </c>
      <c r="S215" s="57">
        <v>97.1</v>
      </c>
      <c r="T215" s="57">
        <v>97.1</v>
      </c>
    </row>
    <row r="216" spans="1:20" x14ac:dyDescent="0.25">
      <c r="A216" s="59" t="s">
        <v>43</v>
      </c>
      <c r="B216" s="57"/>
      <c r="C216" s="57"/>
      <c r="D216" s="57">
        <v>0</v>
      </c>
      <c r="E216" s="57">
        <v>0</v>
      </c>
      <c r="F216" s="57"/>
      <c r="G216" s="57">
        <v>15</v>
      </c>
      <c r="H216" s="57">
        <v>40</v>
      </c>
      <c r="I216" s="57"/>
      <c r="J216" s="57"/>
      <c r="K216" s="57">
        <v>42</v>
      </c>
      <c r="L216" s="57">
        <v>53</v>
      </c>
      <c r="M216" s="57">
        <v>53</v>
      </c>
      <c r="N216" s="57">
        <v>53</v>
      </c>
      <c r="O216" s="57">
        <v>76.5</v>
      </c>
      <c r="P216" s="57">
        <v>71.8</v>
      </c>
      <c r="Q216" s="57">
        <v>78.099999999999994</v>
      </c>
      <c r="R216" s="57">
        <v>95.5</v>
      </c>
      <c r="S216" s="57">
        <v>95.5</v>
      </c>
      <c r="T216" s="57">
        <v>95.5</v>
      </c>
    </row>
    <row r="217" spans="1:20" x14ac:dyDescent="0.25">
      <c r="A217" s="59" t="s">
        <v>44</v>
      </c>
      <c r="B217" s="57"/>
      <c r="C217" s="57"/>
      <c r="D217" s="57"/>
      <c r="E217" s="57"/>
      <c r="F217" s="57"/>
      <c r="G217" s="57"/>
      <c r="H217" s="57"/>
      <c r="I217" s="57"/>
      <c r="J217" s="57"/>
      <c r="K217" s="57">
        <v>0.46</v>
      </c>
      <c r="L217" s="57">
        <v>1.34</v>
      </c>
      <c r="M217" s="57">
        <v>5.77</v>
      </c>
      <c r="N217" s="57">
        <v>43.41</v>
      </c>
      <c r="O217" s="57">
        <v>43.41</v>
      </c>
      <c r="P217" s="57">
        <v>49.1</v>
      </c>
      <c r="Q217" s="57">
        <v>57.4</v>
      </c>
      <c r="R217" s="57">
        <v>91.2</v>
      </c>
      <c r="S217" s="57">
        <v>91.2</v>
      </c>
      <c r="T217" s="57">
        <v>91.2</v>
      </c>
    </row>
    <row r="218" spans="1:20" x14ac:dyDescent="0.25">
      <c r="A218" s="59" t="s">
        <v>45</v>
      </c>
      <c r="B218" s="57"/>
      <c r="C218" s="57"/>
      <c r="D218" s="57"/>
      <c r="E218" s="57"/>
      <c r="F218" s="57"/>
      <c r="G218" s="57"/>
      <c r="H218" s="57"/>
      <c r="I218" s="57"/>
      <c r="J218" s="57"/>
      <c r="K218" s="57"/>
      <c r="L218" s="57"/>
      <c r="M218" s="57"/>
      <c r="N218" s="57"/>
      <c r="O218" s="57"/>
      <c r="P218" s="57"/>
      <c r="Q218" s="57"/>
      <c r="R218" s="57">
        <v>0</v>
      </c>
      <c r="S218" s="57"/>
      <c r="T218" s="57">
        <v>0</v>
      </c>
    </row>
    <row r="219" spans="1:20" x14ac:dyDescent="0.25">
      <c r="A219" s="9" t="s">
        <v>225</v>
      </c>
      <c r="B219" s="9"/>
      <c r="C219" s="9"/>
      <c r="D219" s="9"/>
      <c r="E219" s="9"/>
      <c r="F219" s="9"/>
      <c r="G219" s="9"/>
      <c r="H219" s="9"/>
      <c r="I219" s="9"/>
      <c r="J219" s="9"/>
      <c r="K219" s="9"/>
      <c r="L219" s="9"/>
      <c r="M219" s="9"/>
      <c r="N219" s="9"/>
      <c r="O219" s="9"/>
      <c r="P219" s="9"/>
      <c r="Q219" s="9"/>
      <c r="R219" s="9"/>
      <c r="S219" s="9"/>
      <c r="T219" s="9"/>
    </row>
    <row r="220" spans="1:20" x14ac:dyDescent="0.25">
      <c r="A220" s="59" t="s">
        <v>42</v>
      </c>
      <c r="B220" s="57">
        <v>70</v>
      </c>
      <c r="C220" s="57">
        <v>72</v>
      </c>
      <c r="D220" s="57">
        <v>75</v>
      </c>
      <c r="E220" s="57">
        <v>75</v>
      </c>
      <c r="F220" s="57">
        <v>41</v>
      </c>
      <c r="G220" s="57">
        <v>61</v>
      </c>
      <c r="H220" s="57">
        <v>72.400000000000006</v>
      </c>
      <c r="I220" s="57">
        <v>81</v>
      </c>
      <c r="J220" s="57">
        <v>84</v>
      </c>
      <c r="K220" s="57">
        <v>88</v>
      </c>
      <c r="L220" s="57">
        <v>88.7</v>
      </c>
      <c r="M220" s="57">
        <v>88.9</v>
      </c>
      <c r="N220" s="57">
        <v>90.09</v>
      </c>
      <c r="O220" s="57">
        <v>93</v>
      </c>
      <c r="P220" s="57">
        <v>93.4</v>
      </c>
      <c r="Q220" s="57">
        <v>93.44</v>
      </c>
      <c r="R220" s="57">
        <v>93.54</v>
      </c>
      <c r="S220" s="57">
        <v>93.62</v>
      </c>
      <c r="T220" s="57">
        <v>93.75</v>
      </c>
    </row>
    <row r="221" spans="1:20" x14ac:dyDescent="0.25">
      <c r="A221" s="59" t="s">
        <v>43</v>
      </c>
      <c r="B221" s="57"/>
      <c r="C221" s="57"/>
      <c r="D221" s="57"/>
      <c r="E221" s="57"/>
      <c r="F221" s="57"/>
      <c r="G221" s="57">
        <v>5</v>
      </c>
      <c r="H221" s="57">
        <v>15</v>
      </c>
      <c r="I221" s="57">
        <v>35</v>
      </c>
      <c r="J221" s="57">
        <v>52</v>
      </c>
      <c r="K221" s="57">
        <v>53</v>
      </c>
      <c r="L221" s="57">
        <v>55.1</v>
      </c>
      <c r="M221" s="57">
        <v>55.25</v>
      </c>
      <c r="N221" s="57">
        <v>78.2</v>
      </c>
      <c r="O221" s="57">
        <v>84</v>
      </c>
      <c r="P221" s="57">
        <v>84.2</v>
      </c>
      <c r="Q221" s="57">
        <v>84.28</v>
      </c>
      <c r="R221" s="57">
        <v>84.31</v>
      </c>
      <c r="S221" s="57">
        <v>84.33</v>
      </c>
      <c r="T221" s="57">
        <v>86.8</v>
      </c>
    </row>
    <row r="222" spans="1:20" x14ac:dyDescent="0.25">
      <c r="A222" s="59" t="s">
        <v>44</v>
      </c>
      <c r="B222" s="57"/>
      <c r="C222" s="57"/>
      <c r="D222" s="57"/>
      <c r="E222" s="57"/>
      <c r="F222" s="57"/>
      <c r="G222" s="57"/>
      <c r="H222" s="57"/>
      <c r="I222" s="57"/>
      <c r="J222" s="57"/>
      <c r="K222" s="57">
        <v>2</v>
      </c>
      <c r="L222" s="57">
        <v>11</v>
      </c>
      <c r="M222" s="57">
        <v>22.64</v>
      </c>
      <c r="N222" s="57">
        <v>34.72</v>
      </c>
      <c r="O222" s="57">
        <v>35</v>
      </c>
      <c r="P222" s="57">
        <v>35</v>
      </c>
      <c r="Q222" s="57">
        <v>35</v>
      </c>
      <c r="R222" s="57">
        <v>39.119999999999997</v>
      </c>
      <c r="S222" s="57">
        <v>40.06</v>
      </c>
      <c r="T222" s="57">
        <v>44.7</v>
      </c>
    </row>
    <row r="223" spans="1:20" x14ac:dyDescent="0.25">
      <c r="A223" s="59" t="s">
        <v>45</v>
      </c>
      <c r="B223" s="57"/>
      <c r="C223" s="57"/>
      <c r="D223" s="57"/>
      <c r="E223" s="57"/>
      <c r="F223" s="57"/>
      <c r="G223" s="57"/>
      <c r="H223" s="57"/>
      <c r="I223" s="57"/>
      <c r="J223" s="57"/>
      <c r="K223" s="57"/>
      <c r="L223" s="57"/>
      <c r="M223" s="57"/>
      <c r="N223" s="57"/>
      <c r="O223" s="57"/>
      <c r="P223" s="57"/>
      <c r="Q223" s="57"/>
      <c r="R223" s="57"/>
      <c r="S223" s="57">
        <v>2.65</v>
      </c>
      <c r="T223" s="57">
        <v>2.65</v>
      </c>
    </row>
    <row r="225" spans="1:1" x14ac:dyDescent="0.25">
      <c r="A225" t="s">
        <v>162</v>
      </c>
    </row>
    <row r="226" spans="1:1" x14ac:dyDescent="0.25">
      <c r="A226" t="s">
        <v>23</v>
      </c>
    </row>
  </sheetData>
  <conditionalFormatting sqref="A5:T8 A10:T13 A15:T18 A20:T23 A25:T28 A30:T33 A35:T38 A40:T43 A45:T48 A50:T53 A55:T58 A60:T63 A65:T68 A70:T73 A75:T78 A80:T83 A85:T88 A90:T93 A95:T98 A100:T103 A105:T108 A110:T113 A115:T118 A120:T123 A125:T128 A130:T133 A135:T138 A140:T143 A145:T148 A150:T153 A155:T158 A160:T163 A165:T168 A170:T173 A175:T178 A180:T183 A185:T188 A190:T193 A195:T198 A200:T203 A205:T208 A210:T213 A215:T218 A220:T223">
    <cfRule type="containsText" dxfId="5" priority="1" stopIfTrue="1" operator="containsText" text="ITU estim">
      <formula>NOT(ISERROR(SEARCH("ITU estim",A5)))</formula>
    </cfRule>
    <cfRule type="containsText" dxfId="4" priority="2" stopIfTrue="1" operator="containsText" text="not publi">
      <formula>NOT(ISERROR(SEARCH("not publi",A5)))</formula>
    </cfRule>
  </conditionalFormatting>
  <hyperlinks>
    <hyperlink ref="T1" location="Contents!A1" display="Return to Contents" xr:uid="{471A9BE5-9BF5-48A8-B243-C1F3DB0D2D79}"/>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7330-2BB4-466C-8DFC-5E1821DBB42E}">
  <sheetPr codeName="Sheet10"/>
  <dimension ref="A1:F101"/>
  <sheetViews>
    <sheetView workbookViewId="0"/>
  </sheetViews>
  <sheetFormatPr defaultRowHeight="15" x14ac:dyDescent="0.25"/>
  <cols>
    <col min="1" max="1" width="24.85546875" customWidth="1"/>
    <col min="2" max="5" width="10.28515625" customWidth="1"/>
  </cols>
  <sheetData>
    <row r="1" spans="1:6" x14ac:dyDescent="0.25">
      <c r="A1" s="1" t="s">
        <v>7</v>
      </c>
      <c r="F1" s="34" t="s">
        <v>17</v>
      </c>
    </row>
    <row r="3" spans="1:6" x14ac:dyDescent="0.25">
      <c r="B3" s="27" t="s">
        <v>46</v>
      </c>
      <c r="C3" s="27" t="s">
        <v>47</v>
      </c>
      <c r="D3" s="27" t="s">
        <v>48</v>
      </c>
      <c r="E3" s="27" t="s">
        <v>49</v>
      </c>
    </row>
    <row r="4" spans="1:6" x14ac:dyDescent="0.25">
      <c r="A4" t="s">
        <v>183</v>
      </c>
      <c r="B4" s="4">
        <v>12.76</v>
      </c>
      <c r="C4" s="4">
        <v>23.54</v>
      </c>
      <c r="D4" s="4">
        <v>31.35</v>
      </c>
      <c r="E4" s="4">
        <v>49.56</v>
      </c>
    </row>
    <row r="5" spans="1:6" x14ac:dyDescent="0.25">
      <c r="A5" t="s">
        <v>184</v>
      </c>
      <c r="B5" s="4">
        <v>47.65</v>
      </c>
      <c r="C5" s="4">
        <v>74.55</v>
      </c>
      <c r="D5" s="4">
        <v>91.15</v>
      </c>
      <c r="E5" s="4">
        <v>99.75</v>
      </c>
    </row>
    <row r="6" spans="1:6" x14ac:dyDescent="0.25">
      <c r="A6" t="s">
        <v>185</v>
      </c>
      <c r="B6" s="4">
        <v>44.553881859999997</v>
      </c>
      <c r="C6" s="4">
        <v>69.684116779999997</v>
      </c>
      <c r="D6" s="4">
        <v>87.85808419</v>
      </c>
      <c r="E6" s="4">
        <v>98.21</v>
      </c>
    </row>
    <row r="7" spans="1:6" x14ac:dyDescent="0.25">
      <c r="A7" t="s">
        <v>186</v>
      </c>
      <c r="B7" s="4">
        <v>12.77</v>
      </c>
      <c r="C7" s="4">
        <v>27.5</v>
      </c>
      <c r="D7" s="4">
        <v>48.23</v>
      </c>
      <c r="E7" s="4">
        <v>77.14</v>
      </c>
    </row>
    <row r="8" spans="1:6" x14ac:dyDescent="0.25">
      <c r="A8" t="s">
        <v>187</v>
      </c>
      <c r="B8" s="4">
        <v>37.75</v>
      </c>
      <c r="C8" s="4">
        <v>95.21</v>
      </c>
      <c r="D8" s="4">
        <v>100</v>
      </c>
      <c r="E8" s="4">
        <v>100</v>
      </c>
    </row>
    <row r="9" spans="1:6" x14ac:dyDescent="0.25">
      <c r="A9" t="s">
        <v>189</v>
      </c>
      <c r="B9" s="4">
        <v>48.04</v>
      </c>
      <c r="C9" s="4">
        <v>98.05</v>
      </c>
      <c r="D9" s="4">
        <v>100</v>
      </c>
      <c r="E9" s="4">
        <v>100</v>
      </c>
    </row>
    <row r="10" spans="1:6" x14ac:dyDescent="0.25">
      <c r="A10" t="s">
        <v>188</v>
      </c>
      <c r="B10" s="4">
        <v>39.03</v>
      </c>
      <c r="C10" s="4">
        <v>60.89</v>
      </c>
      <c r="D10" s="4">
        <v>82.87</v>
      </c>
      <c r="E10" s="4">
        <v>95.91</v>
      </c>
    </row>
    <row r="11" spans="1:6" x14ac:dyDescent="0.25">
      <c r="A11" t="s">
        <v>190</v>
      </c>
      <c r="B11" s="4">
        <v>0</v>
      </c>
      <c r="C11" s="4">
        <v>0</v>
      </c>
      <c r="D11" s="4">
        <v>0</v>
      </c>
      <c r="E11" s="4">
        <v>0</v>
      </c>
    </row>
    <row r="12" spans="1:6" x14ac:dyDescent="0.25">
      <c r="A12" t="s">
        <v>191</v>
      </c>
      <c r="B12" s="4">
        <v>15.3</v>
      </c>
      <c r="C12" s="4">
        <v>21.4</v>
      </c>
      <c r="D12" s="4">
        <v>36.9</v>
      </c>
      <c r="E12" s="4">
        <v>46.44</v>
      </c>
    </row>
    <row r="13" spans="1:6" x14ac:dyDescent="0.25">
      <c r="A13" t="s">
        <v>192</v>
      </c>
      <c r="B13" s="4">
        <v>50.38</v>
      </c>
      <c r="C13" s="4">
        <v>71.48</v>
      </c>
      <c r="D13" s="4">
        <v>80.319999999999993</v>
      </c>
      <c r="E13" s="4">
        <v>90.39</v>
      </c>
    </row>
    <row r="14" spans="1:6" x14ac:dyDescent="0.25">
      <c r="A14" t="s">
        <v>193</v>
      </c>
      <c r="B14" s="4">
        <v>21.28</v>
      </c>
      <c r="C14" s="4">
        <v>46.77</v>
      </c>
      <c r="D14" s="4">
        <v>74.75</v>
      </c>
      <c r="E14" s="4">
        <v>94.67</v>
      </c>
    </row>
    <row r="15" spans="1:6" x14ac:dyDescent="0.25">
      <c r="A15" t="s">
        <v>249</v>
      </c>
      <c r="B15" s="4">
        <v>12.3</v>
      </c>
      <c r="C15" s="4">
        <v>23.18</v>
      </c>
      <c r="D15" s="4">
        <v>33.36</v>
      </c>
      <c r="E15" s="4">
        <v>53.89</v>
      </c>
    </row>
    <row r="16" spans="1:6" x14ac:dyDescent="0.25">
      <c r="A16" t="s">
        <v>194</v>
      </c>
      <c r="B16" s="4">
        <v>42.24</v>
      </c>
      <c r="C16" s="4">
        <v>80.47</v>
      </c>
      <c r="D16" s="4">
        <v>98.96</v>
      </c>
      <c r="E16" s="4">
        <v>99.46</v>
      </c>
    </row>
    <row r="17" spans="1:5" x14ac:dyDescent="0.25">
      <c r="A17" t="s">
        <v>195</v>
      </c>
      <c r="B17" s="4">
        <v>0</v>
      </c>
      <c r="C17" s="4">
        <v>0</v>
      </c>
      <c r="D17" s="4">
        <v>0</v>
      </c>
      <c r="E17" s="4">
        <v>0</v>
      </c>
    </row>
    <row r="18" spans="1:5" x14ac:dyDescent="0.25">
      <c r="A18" t="s">
        <v>196</v>
      </c>
      <c r="B18" s="4">
        <v>68.802280359999997</v>
      </c>
      <c r="C18" s="4">
        <v>100</v>
      </c>
      <c r="D18" s="4">
        <v>100</v>
      </c>
      <c r="E18" s="4">
        <v>100</v>
      </c>
    </row>
    <row r="19" spans="1:5" x14ac:dyDescent="0.25">
      <c r="A19" t="s">
        <v>197</v>
      </c>
      <c r="B19" s="4">
        <v>68.8</v>
      </c>
      <c r="C19" s="4">
        <v>100</v>
      </c>
      <c r="D19" s="4">
        <v>100</v>
      </c>
      <c r="E19" s="4">
        <v>100</v>
      </c>
    </row>
    <row r="20" spans="1:5" x14ac:dyDescent="0.25">
      <c r="A20" t="s">
        <v>198</v>
      </c>
      <c r="B20" s="4">
        <v>14.78</v>
      </c>
      <c r="C20" s="4">
        <v>42.7</v>
      </c>
      <c r="D20" s="4">
        <v>81.96</v>
      </c>
      <c r="E20" s="4">
        <v>96.55</v>
      </c>
    </row>
    <row r="21" spans="1:5" x14ac:dyDescent="0.25">
      <c r="A21" t="s">
        <v>199</v>
      </c>
      <c r="B21" s="4">
        <v>42.49</v>
      </c>
      <c r="C21" s="4">
        <v>52.44</v>
      </c>
      <c r="D21" s="4">
        <v>57.14</v>
      </c>
      <c r="E21" s="4">
        <v>61.72</v>
      </c>
    </row>
    <row r="22" spans="1:5" x14ac:dyDescent="0.25">
      <c r="A22" t="s">
        <v>200</v>
      </c>
      <c r="B22" s="4">
        <v>75.39</v>
      </c>
      <c r="C22" s="4">
        <v>96.52</v>
      </c>
      <c r="D22" s="4">
        <v>100</v>
      </c>
      <c r="E22" s="4">
        <v>100</v>
      </c>
    </row>
    <row r="23" spans="1:5" x14ac:dyDescent="0.25">
      <c r="A23" t="s">
        <v>201</v>
      </c>
      <c r="B23" s="4">
        <v>31.18</v>
      </c>
      <c r="C23" s="4">
        <v>62.37</v>
      </c>
      <c r="D23" s="4">
        <v>84.81</v>
      </c>
      <c r="E23" s="4">
        <v>97.62</v>
      </c>
    </row>
    <row r="24" spans="1:5" x14ac:dyDescent="0.25">
      <c r="A24" t="s">
        <v>202</v>
      </c>
      <c r="B24" s="4">
        <v>4.33</v>
      </c>
      <c r="C24" s="4">
        <v>13.58</v>
      </c>
      <c r="D24" s="4">
        <v>15.15</v>
      </c>
      <c r="E24" s="4">
        <v>22.14</v>
      </c>
    </row>
    <row r="25" spans="1:5" x14ac:dyDescent="0.25">
      <c r="A25" t="s">
        <v>203</v>
      </c>
      <c r="B25" s="4">
        <v>24.29</v>
      </c>
      <c r="C25" s="4">
        <v>30.67</v>
      </c>
      <c r="D25" s="4">
        <v>58.75</v>
      </c>
      <c r="E25" s="4">
        <v>93.31</v>
      </c>
    </row>
    <row r="26" spans="1:5" x14ac:dyDescent="0.25">
      <c r="A26" t="s">
        <v>204</v>
      </c>
      <c r="B26" s="4">
        <v>31.94</v>
      </c>
      <c r="C26" s="4">
        <v>77.09</v>
      </c>
      <c r="D26" s="4">
        <v>93.35</v>
      </c>
      <c r="E26" s="4">
        <v>98.12</v>
      </c>
    </row>
    <row r="27" spans="1:5" x14ac:dyDescent="0.25">
      <c r="A27" t="s">
        <v>205</v>
      </c>
      <c r="B27" s="4">
        <v>1.63</v>
      </c>
      <c r="C27" s="4">
        <v>20.47</v>
      </c>
      <c r="D27" s="4">
        <v>58.79</v>
      </c>
      <c r="E27" s="4">
        <v>100</v>
      </c>
    </row>
    <row r="28" spans="1:5" x14ac:dyDescent="0.25">
      <c r="A28" t="s">
        <v>206</v>
      </c>
      <c r="B28" s="4">
        <v>8.82</v>
      </c>
      <c r="C28" s="4">
        <v>12.18</v>
      </c>
      <c r="D28" s="4">
        <v>17.75</v>
      </c>
      <c r="E28" s="4">
        <v>36.159999999999997</v>
      </c>
    </row>
    <row r="29" spans="1:5" x14ac:dyDescent="0.25">
      <c r="A29" t="s">
        <v>207</v>
      </c>
      <c r="B29" s="4">
        <v>17.350000000000001</v>
      </c>
      <c r="C29" s="4">
        <v>43.03</v>
      </c>
      <c r="D29" s="4">
        <v>78.989999999999995</v>
      </c>
      <c r="E29" s="4">
        <v>95.77</v>
      </c>
    </row>
    <row r="30" spans="1:5" x14ac:dyDescent="0.25">
      <c r="A30" t="s">
        <v>208</v>
      </c>
      <c r="B30" s="4">
        <v>18.7</v>
      </c>
      <c r="C30" s="4">
        <v>46.45</v>
      </c>
      <c r="D30" s="4">
        <v>90.65</v>
      </c>
      <c r="E30" s="4">
        <v>100</v>
      </c>
    </row>
    <row r="31" spans="1:5" x14ac:dyDescent="0.25">
      <c r="A31" t="s">
        <v>209</v>
      </c>
      <c r="B31" s="4">
        <v>14.71</v>
      </c>
      <c r="C31" s="4">
        <v>29.46</v>
      </c>
      <c r="D31" s="4">
        <v>51</v>
      </c>
      <c r="E31" s="4">
        <v>87.64</v>
      </c>
    </row>
    <row r="32" spans="1:5" x14ac:dyDescent="0.25">
      <c r="A32" t="s">
        <v>210</v>
      </c>
      <c r="B32" s="4">
        <v>97.06</v>
      </c>
      <c r="C32" s="4">
        <v>97.06</v>
      </c>
      <c r="D32" s="4">
        <v>97.06</v>
      </c>
      <c r="E32" s="4">
        <v>97.06</v>
      </c>
    </row>
    <row r="33" spans="1:5" x14ac:dyDescent="0.25">
      <c r="A33" t="s">
        <v>211</v>
      </c>
      <c r="B33" s="4">
        <v>22.12</v>
      </c>
      <c r="C33" s="4">
        <v>45.77</v>
      </c>
      <c r="D33" s="4">
        <v>76.569999999999993</v>
      </c>
      <c r="E33" s="4">
        <v>97.75</v>
      </c>
    </row>
    <row r="34" spans="1:5" x14ac:dyDescent="0.25">
      <c r="A34" t="s">
        <v>212</v>
      </c>
      <c r="B34" s="4">
        <v>33.08</v>
      </c>
      <c r="C34" s="4">
        <v>50.14</v>
      </c>
      <c r="D34" s="4">
        <v>75.2</v>
      </c>
      <c r="E34" s="4">
        <v>94.27</v>
      </c>
    </row>
    <row r="35" spans="1:5" x14ac:dyDescent="0.25">
      <c r="A35" t="s">
        <v>213</v>
      </c>
      <c r="B35" s="4">
        <v>15.4</v>
      </c>
      <c r="C35" s="4">
        <v>27.9</v>
      </c>
      <c r="D35" s="4">
        <v>56.8</v>
      </c>
      <c r="E35" s="4">
        <v>56.8</v>
      </c>
    </row>
    <row r="36" spans="1:5" x14ac:dyDescent="0.25">
      <c r="A36" t="s">
        <v>214</v>
      </c>
      <c r="B36" s="4">
        <v>27.81</v>
      </c>
      <c r="C36" s="4">
        <v>55.64</v>
      </c>
      <c r="D36" s="4">
        <v>83.11</v>
      </c>
      <c r="E36" s="4">
        <v>97.96</v>
      </c>
    </row>
    <row r="37" spans="1:5" x14ac:dyDescent="0.25">
      <c r="A37" t="s">
        <v>215</v>
      </c>
      <c r="B37" s="4">
        <v>50.38</v>
      </c>
      <c r="C37" s="4">
        <v>97.81</v>
      </c>
      <c r="D37" s="4">
        <v>100</v>
      </c>
      <c r="E37" s="4">
        <v>100</v>
      </c>
    </row>
    <row r="38" spans="1:5" x14ac:dyDescent="0.25">
      <c r="A38" t="s">
        <v>216</v>
      </c>
      <c r="B38" s="4">
        <v>45.95</v>
      </c>
      <c r="C38" s="4">
        <v>89.32</v>
      </c>
      <c r="D38" s="4">
        <v>93.73</v>
      </c>
      <c r="E38" s="4">
        <v>93.73</v>
      </c>
    </row>
    <row r="39" spans="1:5" x14ac:dyDescent="0.25">
      <c r="A39" t="s">
        <v>217</v>
      </c>
      <c r="B39" s="4">
        <v>36.15</v>
      </c>
      <c r="C39" s="4">
        <v>76.02</v>
      </c>
      <c r="D39" s="4">
        <v>94.78</v>
      </c>
      <c r="E39" s="4">
        <v>98.94</v>
      </c>
    </row>
    <row r="40" spans="1:5" x14ac:dyDescent="0.25">
      <c r="A40" t="s">
        <v>218</v>
      </c>
      <c r="B40" s="4">
        <v>57.16</v>
      </c>
      <c r="C40" s="4">
        <v>86.48</v>
      </c>
      <c r="D40" s="4">
        <v>100</v>
      </c>
      <c r="E40" s="4">
        <v>100</v>
      </c>
    </row>
    <row r="41" spans="1:5" x14ac:dyDescent="0.25">
      <c r="A41" t="s">
        <v>219</v>
      </c>
      <c r="B41" s="4">
        <v>30.09</v>
      </c>
      <c r="C41" s="4">
        <v>52.56</v>
      </c>
      <c r="D41" s="4">
        <v>76.87</v>
      </c>
      <c r="E41" s="4">
        <v>97.16</v>
      </c>
    </row>
    <row r="42" spans="1:5" x14ac:dyDescent="0.25">
      <c r="A42" t="s">
        <v>220</v>
      </c>
      <c r="B42" s="4">
        <v>0</v>
      </c>
      <c r="C42" s="4">
        <v>0</v>
      </c>
      <c r="D42" s="4">
        <v>0</v>
      </c>
      <c r="E42" s="4">
        <v>0</v>
      </c>
    </row>
    <row r="43" spans="1:5" x14ac:dyDescent="0.25">
      <c r="A43" t="s">
        <v>221</v>
      </c>
      <c r="B43" s="4">
        <v>14.41</v>
      </c>
      <c r="C43" s="4">
        <v>29.54</v>
      </c>
      <c r="D43" s="4">
        <v>54.65</v>
      </c>
      <c r="E43" s="4">
        <v>88.04</v>
      </c>
    </row>
    <row r="44" spans="1:5" x14ac:dyDescent="0.25">
      <c r="A44" t="s">
        <v>222</v>
      </c>
      <c r="B44" s="4">
        <v>39.869999999999997</v>
      </c>
      <c r="C44" s="4">
        <v>70.77</v>
      </c>
      <c r="D44" s="4">
        <v>93.02</v>
      </c>
      <c r="E44" s="4">
        <v>100</v>
      </c>
    </row>
    <row r="45" spans="1:5" x14ac:dyDescent="0.25">
      <c r="A45" t="s">
        <v>223</v>
      </c>
      <c r="B45" s="4">
        <v>32.89</v>
      </c>
      <c r="C45" s="4">
        <v>72.39</v>
      </c>
      <c r="D45" s="4">
        <v>92.96</v>
      </c>
      <c r="E45" s="4">
        <v>99.23</v>
      </c>
    </row>
    <row r="46" spans="1:5" x14ac:dyDescent="0.25">
      <c r="A46" t="s">
        <v>224</v>
      </c>
      <c r="B46" s="4">
        <v>24.75</v>
      </c>
      <c r="C46" s="4">
        <v>47.97</v>
      </c>
      <c r="D46" s="4">
        <v>70.37</v>
      </c>
      <c r="E46" s="4">
        <v>95.01</v>
      </c>
    </row>
    <row r="47" spans="1:5" x14ac:dyDescent="0.25">
      <c r="A47" t="s">
        <v>225</v>
      </c>
      <c r="B47" s="4">
        <v>28.33</v>
      </c>
      <c r="C47" s="4">
        <v>61.54</v>
      </c>
      <c r="D47" s="4">
        <v>86.72</v>
      </c>
      <c r="E47" s="4">
        <v>99.7</v>
      </c>
    </row>
    <row r="48" spans="1:5" x14ac:dyDescent="0.25">
      <c r="A48" s="41" t="s">
        <v>227</v>
      </c>
      <c r="B48" s="43">
        <v>30.113976352079703</v>
      </c>
      <c r="C48" s="43">
        <v>49.138657060444871</v>
      </c>
      <c r="D48" s="43">
        <v>67.393873498327096</v>
      </c>
      <c r="E48" s="43">
        <v>79.080825903407202</v>
      </c>
    </row>
    <row r="50" spans="1:4" x14ac:dyDescent="0.25">
      <c r="A50" t="s">
        <v>50</v>
      </c>
    </row>
    <row r="51" spans="1:4" x14ac:dyDescent="0.25">
      <c r="A51" t="s">
        <v>23</v>
      </c>
    </row>
    <row r="53" spans="1:4" x14ac:dyDescent="0.25">
      <c r="A53" s="35" t="s">
        <v>8</v>
      </c>
      <c r="D53" s="50"/>
    </row>
    <row r="54" spans="1:4" x14ac:dyDescent="0.25">
      <c r="B54" s="27" t="s">
        <v>51</v>
      </c>
    </row>
    <row r="55" spans="1:4" x14ac:dyDescent="0.25">
      <c r="A55" t="s">
        <v>183</v>
      </c>
      <c r="B55" s="36">
        <v>10995</v>
      </c>
    </row>
    <row r="56" spans="1:4" x14ac:dyDescent="0.25">
      <c r="A56" t="s">
        <v>184</v>
      </c>
      <c r="B56" s="36">
        <v>4039.01</v>
      </c>
    </row>
    <row r="57" spans="1:4" x14ac:dyDescent="0.25">
      <c r="A57" t="s">
        <v>185</v>
      </c>
      <c r="B57" s="36">
        <v>10503</v>
      </c>
    </row>
    <row r="58" spans="1:4" x14ac:dyDescent="0.25">
      <c r="A58" t="s">
        <v>186</v>
      </c>
      <c r="B58" s="36">
        <v>1300</v>
      </c>
    </row>
    <row r="59" spans="1:4" x14ac:dyDescent="0.25">
      <c r="A59" t="s">
        <v>187</v>
      </c>
      <c r="B59" s="36">
        <v>5663</v>
      </c>
    </row>
    <row r="60" spans="1:4" x14ac:dyDescent="0.25">
      <c r="A60" t="s">
        <v>189</v>
      </c>
      <c r="B60" s="36">
        <v>1500</v>
      </c>
    </row>
    <row r="61" spans="1:4" x14ac:dyDescent="0.25">
      <c r="A61" t="s">
        <v>188</v>
      </c>
      <c r="B61" s="36">
        <v>20812</v>
      </c>
    </row>
    <row r="62" spans="1:4" x14ac:dyDescent="0.25">
      <c r="A62" t="s">
        <v>190</v>
      </c>
      <c r="B62" s="36">
        <v>287</v>
      </c>
    </row>
    <row r="63" spans="1:4" x14ac:dyDescent="0.25">
      <c r="A63" t="s">
        <v>191</v>
      </c>
      <c r="B63" s="36">
        <v>830</v>
      </c>
    </row>
    <row r="64" spans="1:4" x14ac:dyDescent="0.25">
      <c r="A64" t="s">
        <v>192</v>
      </c>
      <c r="B64" s="36">
        <v>2816</v>
      </c>
    </row>
    <row r="65" spans="1:2" x14ac:dyDescent="0.25">
      <c r="A65" t="s">
        <v>193</v>
      </c>
      <c r="B65" s="36">
        <v>6122.3</v>
      </c>
    </row>
    <row r="66" spans="1:2" x14ac:dyDescent="0.25">
      <c r="A66" t="s">
        <v>249</v>
      </c>
      <c r="B66" s="36">
        <v>6569</v>
      </c>
    </row>
    <row r="67" spans="1:2" x14ac:dyDescent="0.25">
      <c r="A67" t="s">
        <v>194</v>
      </c>
      <c r="B67" s="36">
        <v>1579</v>
      </c>
    </row>
    <row r="68" spans="1:2" x14ac:dyDescent="0.25">
      <c r="A68" t="s">
        <v>195</v>
      </c>
      <c r="B68" s="36">
        <v>0</v>
      </c>
    </row>
    <row r="69" spans="1:2" x14ac:dyDescent="0.25">
      <c r="A69" t="s">
        <v>196</v>
      </c>
      <c r="B69" s="36">
        <v>1266</v>
      </c>
    </row>
    <row r="70" spans="1:2" x14ac:dyDescent="0.25">
      <c r="A70" t="s">
        <v>197</v>
      </c>
      <c r="B70" s="36">
        <v>21178</v>
      </c>
    </row>
    <row r="71" spans="1:2" x14ac:dyDescent="0.25">
      <c r="A71" t="s">
        <v>198</v>
      </c>
      <c r="B71" s="36">
        <v>200</v>
      </c>
    </row>
    <row r="72" spans="1:2" x14ac:dyDescent="0.25">
      <c r="A72" t="s">
        <v>199</v>
      </c>
      <c r="B72" s="36">
        <v>500</v>
      </c>
    </row>
    <row r="73" spans="1:2" x14ac:dyDescent="0.25">
      <c r="A73" t="s">
        <v>200</v>
      </c>
      <c r="B73" s="36">
        <v>7519.45</v>
      </c>
    </row>
    <row r="74" spans="1:2" x14ac:dyDescent="0.25">
      <c r="A74" t="s">
        <v>201</v>
      </c>
      <c r="B74" s="36">
        <v>100</v>
      </c>
    </row>
    <row r="75" spans="1:2" x14ac:dyDescent="0.25">
      <c r="A75" t="s">
        <v>202</v>
      </c>
      <c r="B75" s="36">
        <v>120</v>
      </c>
    </row>
    <row r="76" spans="1:2" x14ac:dyDescent="0.25">
      <c r="A76" t="s">
        <v>203</v>
      </c>
      <c r="B76" s="36">
        <v>28044.5</v>
      </c>
    </row>
    <row r="77" spans="1:2" x14ac:dyDescent="0.25">
      <c r="A77" t="s">
        <v>204</v>
      </c>
      <c r="B77" s="36">
        <v>900</v>
      </c>
    </row>
    <row r="78" spans="1:2" x14ac:dyDescent="0.25">
      <c r="A78" t="s">
        <v>205</v>
      </c>
      <c r="B78" s="36">
        <v>380</v>
      </c>
    </row>
    <row r="79" spans="1:2" x14ac:dyDescent="0.25">
      <c r="A79" t="s">
        <v>206</v>
      </c>
      <c r="B79" s="36">
        <v>9000</v>
      </c>
    </row>
    <row r="80" spans="1:2" x14ac:dyDescent="0.25">
      <c r="A80" t="s">
        <v>207</v>
      </c>
      <c r="B80" s="36">
        <v>2403</v>
      </c>
    </row>
    <row r="81" spans="1:2" x14ac:dyDescent="0.25">
      <c r="A81" t="s">
        <v>208</v>
      </c>
      <c r="B81" s="36">
        <v>4736.5</v>
      </c>
    </row>
    <row r="82" spans="1:2" x14ac:dyDescent="0.25">
      <c r="A82" t="s">
        <v>209</v>
      </c>
      <c r="B82" s="36">
        <v>1174</v>
      </c>
    </row>
    <row r="83" spans="1:2" x14ac:dyDescent="0.25">
      <c r="A83" t="s">
        <v>210</v>
      </c>
      <c r="B83" s="36">
        <v>47032</v>
      </c>
    </row>
    <row r="84" spans="1:2" x14ac:dyDescent="0.25">
      <c r="A84" t="s">
        <v>211</v>
      </c>
      <c r="B84" s="36">
        <v>8918</v>
      </c>
    </row>
    <row r="85" spans="1:2" x14ac:dyDescent="0.25">
      <c r="A85" t="s">
        <v>212</v>
      </c>
      <c r="B85" s="36">
        <v>3847</v>
      </c>
    </row>
    <row r="86" spans="1:2" x14ac:dyDescent="0.25">
      <c r="A86" t="s">
        <v>213</v>
      </c>
      <c r="B86" s="36">
        <v>60005</v>
      </c>
    </row>
    <row r="87" spans="1:2" x14ac:dyDescent="0.25">
      <c r="A87" t="s">
        <v>214</v>
      </c>
      <c r="B87" s="36">
        <v>6103</v>
      </c>
    </row>
    <row r="88" spans="1:2" x14ac:dyDescent="0.25">
      <c r="A88" t="s">
        <v>215</v>
      </c>
      <c r="B88" s="36">
        <v>400</v>
      </c>
    </row>
    <row r="89" spans="1:2" x14ac:dyDescent="0.25">
      <c r="A89" t="s">
        <v>216</v>
      </c>
      <c r="B89" s="36">
        <v>6104</v>
      </c>
    </row>
    <row r="90" spans="1:2" x14ac:dyDescent="0.25">
      <c r="A90" t="s">
        <v>217</v>
      </c>
      <c r="B90" s="36">
        <v>200</v>
      </c>
    </row>
    <row r="91" spans="1:2" x14ac:dyDescent="0.25">
      <c r="A91" t="s">
        <v>218</v>
      </c>
      <c r="B91" s="36">
        <v>600</v>
      </c>
    </row>
    <row r="92" spans="1:2" x14ac:dyDescent="0.25">
      <c r="A92" t="s">
        <v>219</v>
      </c>
      <c r="B92" s="36">
        <v>211957.41</v>
      </c>
    </row>
    <row r="93" spans="1:2" x14ac:dyDescent="0.25">
      <c r="A93" t="s">
        <v>220</v>
      </c>
      <c r="B93" s="36">
        <v>0</v>
      </c>
    </row>
    <row r="94" spans="1:2" x14ac:dyDescent="0.25">
      <c r="A94" t="s">
        <v>221</v>
      </c>
      <c r="B94" s="36">
        <v>28674</v>
      </c>
    </row>
    <row r="95" spans="1:2" x14ac:dyDescent="0.25">
      <c r="A95" t="s">
        <v>222</v>
      </c>
      <c r="B95" s="36">
        <v>1517</v>
      </c>
    </row>
    <row r="96" spans="1:2" x14ac:dyDescent="0.25">
      <c r="A96" t="s">
        <v>223</v>
      </c>
      <c r="B96" s="36">
        <v>7368.45</v>
      </c>
    </row>
    <row r="97" spans="1:2" x14ac:dyDescent="0.25">
      <c r="A97" t="s">
        <v>224</v>
      </c>
      <c r="B97" s="36">
        <v>9449</v>
      </c>
    </row>
    <row r="98" spans="1:2" x14ac:dyDescent="0.25">
      <c r="A98" t="s">
        <v>225</v>
      </c>
      <c r="B98" s="36">
        <v>11198</v>
      </c>
    </row>
    <row r="99" spans="1:2" x14ac:dyDescent="0.25">
      <c r="A99" s="41" t="s">
        <v>227</v>
      </c>
      <c r="B99" s="42">
        <f>SUM(B55:B98)</f>
        <v>553909.62</v>
      </c>
    </row>
    <row r="101" spans="1:2" x14ac:dyDescent="0.25">
      <c r="A101" t="s">
        <v>23</v>
      </c>
    </row>
  </sheetData>
  <conditionalFormatting sqref="D55:D98">
    <cfRule type="containsText" dxfId="3" priority="1" operator="containsText" text="not pub">
      <formula>NOT(ISERROR(SEARCH("not pub",D55)))</formula>
    </cfRule>
  </conditionalFormatting>
  <hyperlinks>
    <hyperlink ref="F1" location="Contents!A1" display="Return to Contents" xr:uid="{132EA8CA-2F27-4E2B-B879-D2E7CBA10D98}"/>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4857-C0E7-4AEC-BEC7-B47B0505C8F7}">
  <sheetPr codeName="Sheet11"/>
  <dimension ref="A1:M96"/>
  <sheetViews>
    <sheetView workbookViewId="0"/>
  </sheetViews>
  <sheetFormatPr defaultRowHeight="15" x14ac:dyDescent="0.25"/>
  <cols>
    <col min="1" max="1" width="35.28515625" customWidth="1"/>
    <col min="2" max="6" width="9.42578125" bestFit="1" customWidth="1"/>
    <col min="7" max="12" width="10.5703125" bestFit="1" customWidth="1"/>
    <col min="13" max="15" width="11.5703125" bestFit="1" customWidth="1"/>
  </cols>
  <sheetData>
    <row r="1" spans="1:13" x14ac:dyDescent="0.25">
      <c r="A1" s="1" t="s">
        <v>52</v>
      </c>
      <c r="M1" s="34" t="s">
        <v>17</v>
      </c>
    </row>
    <row r="4" spans="1:13" x14ac:dyDescent="0.25">
      <c r="A4" s="6"/>
      <c r="B4" s="6">
        <v>2012</v>
      </c>
      <c r="C4" s="6">
        <v>2013</v>
      </c>
      <c r="D4" s="6">
        <v>2014</v>
      </c>
      <c r="E4" s="6">
        <v>2015</v>
      </c>
      <c r="F4" s="6">
        <v>2016</v>
      </c>
      <c r="G4" s="6">
        <v>2017</v>
      </c>
      <c r="H4" s="6">
        <v>2018</v>
      </c>
      <c r="I4" s="6">
        <v>2019</v>
      </c>
      <c r="J4" s="6">
        <v>2020</v>
      </c>
      <c r="K4" s="6">
        <v>2021</v>
      </c>
      <c r="L4" s="6">
        <v>2022</v>
      </c>
      <c r="M4" s="6">
        <v>2023</v>
      </c>
    </row>
    <row r="5" spans="1:13" x14ac:dyDescent="0.25">
      <c r="A5" s="9" t="s">
        <v>53</v>
      </c>
      <c r="B5" s="8"/>
      <c r="C5" s="8"/>
      <c r="D5" s="8"/>
      <c r="E5" s="8"/>
      <c r="F5" s="8"/>
      <c r="G5" s="8"/>
      <c r="H5" s="8"/>
      <c r="I5" s="8"/>
      <c r="J5" s="8"/>
      <c r="K5" s="8"/>
      <c r="L5" s="8"/>
      <c r="M5" s="8"/>
    </row>
    <row r="6" spans="1:13" x14ac:dyDescent="0.25">
      <c r="A6" t="s">
        <v>183</v>
      </c>
      <c r="B6" s="4">
        <v>0.97503900156006196</v>
      </c>
      <c r="C6" s="4">
        <v>2.33372228704784</v>
      </c>
      <c r="D6" s="4">
        <v>13.018700854700899</v>
      </c>
      <c r="E6" s="4">
        <v>195.349382370369</v>
      </c>
      <c r="F6" s="4">
        <v>450</v>
      </c>
      <c r="G6" s="4">
        <v>454.52388076641301</v>
      </c>
      <c r="H6" s="4">
        <v>29.390138826772301</v>
      </c>
      <c r="I6" s="4">
        <v>27.715255148318601</v>
      </c>
      <c r="J6" s="4">
        <v>576.05582803910602</v>
      </c>
      <c r="K6" s="4">
        <v>722.87327031912105</v>
      </c>
      <c r="L6" s="4">
        <v>861.28447024673403</v>
      </c>
      <c r="M6" s="4">
        <v>702.86841971119202</v>
      </c>
    </row>
    <row r="7" spans="1:13" x14ac:dyDescent="0.25">
      <c r="A7" t="s">
        <v>184</v>
      </c>
      <c r="B7" s="4"/>
      <c r="C7" s="4"/>
      <c r="D7" s="4"/>
      <c r="E7" s="4"/>
      <c r="F7" s="4"/>
      <c r="G7" s="4"/>
      <c r="H7" s="4"/>
      <c r="I7" s="4"/>
      <c r="J7" s="4"/>
      <c r="K7" s="4">
        <v>24.179118912906802</v>
      </c>
      <c r="L7" s="4">
        <v>1165.3973981578199</v>
      </c>
      <c r="M7" s="4">
        <v>1758.09314477668</v>
      </c>
    </row>
    <row r="8" spans="1:13" x14ac:dyDescent="0.25">
      <c r="A8" t="s">
        <v>185</v>
      </c>
      <c r="B8" s="4"/>
      <c r="C8" s="4"/>
      <c r="D8" s="4"/>
      <c r="E8" s="4"/>
      <c r="F8" s="4">
        <v>1.21916114939804E-3</v>
      </c>
      <c r="G8" s="4">
        <v>42.781957205401703</v>
      </c>
      <c r="H8" s="4">
        <v>50.133303366297099</v>
      </c>
      <c r="I8" s="4">
        <v>14.1235013457304</v>
      </c>
      <c r="J8" s="4">
        <v>193.15574833219401</v>
      </c>
      <c r="K8" s="4">
        <v>180.800204141368</v>
      </c>
      <c r="L8" s="4">
        <v>767.81160128059003</v>
      </c>
      <c r="M8" s="4">
        <v>921.80734715111703</v>
      </c>
    </row>
    <row r="9" spans="1:13" x14ac:dyDescent="0.25">
      <c r="A9" t="s">
        <v>186</v>
      </c>
      <c r="B9" s="4"/>
      <c r="C9" s="4"/>
      <c r="D9" s="4"/>
      <c r="E9" s="4"/>
      <c r="F9" s="4">
        <v>464.08430232558101</v>
      </c>
      <c r="G9" s="4">
        <v>575.52479572850098</v>
      </c>
      <c r="H9" s="4">
        <v>527.62990302503999</v>
      </c>
      <c r="I9" s="4"/>
      <c r="J9" s="4"/>
      <c r="K9" s="4"/>
      <c r="L9" s="4"/>
      <c r="M9" s="4"/>
    </row>
    <row r="10" spans="1:13" x14ac:dyDescent="0.25">
      <c r="A10" t="s">
        <v>187</v>
      </c>
      <c r="B10" s="4"/>
      <c r="C10" s="4"/>
      <c r="D10" s="4"/>
      <c r="E10" s="4"/>
      <c r="F10" s="4"/>
      <c r="G10" s="4">
        <v>1.37966274910577E-2</v>
      </c>
      <c r="H10" s="4">
        <v>343.58322744599701</v>
      </c>
      <c r="I10" s="4">
        <v>779.23413004369104</v>
      </c>
      <c r="J10" s="4">
        <v>899.05437352245895</v>
      </c>
      <c r="K10" s="4">
        <v>1396.15481912472</v>
      </c>
      <c r="L10" s="4">
        <v>1378.0274656679201</v>
      </c>
      <c r="M10" s="4">
        <v>1981.6876122082599</v>
      </c>
    </row>
    <row r="11" spans="1:13" x14ac:dyDescent="0.25">
      <c r="A11" t="s">
        <v>189</v>
      </c>
      <c r="B11" s="4"/>
      <c r="C11" s="4"/>
      <c r="D11" s="4"/>
      <c r="E11" s="4"/>
      <c r="F11" s="4">
        <v>358.02071938742699</v>
      </c>
      <c r="G11" s="4">
        <v>243.84712866004099</v>
      </c>
      <c r="H11" s="4">
        <v>1196.53771476017</v>
      </c>
      <c r="I11" s="4">
        <v>1203.9798538416001</v>
      </c>
      <c r="J11" s="4">
        <v>1237.2076170538301</v>
      </c>
      <c r="K11" s="4">
        <v>1490.07598585091</v>
      </c>
      <c r="L11" s="4">
        <v>2171.9642595576402</v>
      </c>
      <c r="M11" s="4">
        <v>2766.31801933007</v>
      </c>
    </row>
    <row r="12" spans="1:13" x14ac:dyDescent="0.25">
      <c r="A12" t="s">
        <v>188</v>
      </c>
      <c r="B12" s="4"/>
      <c r="C12" s="4"/>
      <c r="D12" s="4"/>
      <c r="E12" s="4"/>
      <c r="F12" s="4"/>
      <c r="G12" s="4"/>
      <c r="H12" s="4">
        <v>178.70401679580999</v>
      </c>
      <c r="I12" s="4">
        <v>194.30415609746399</v>
      </c>
      <c r="J12" s="4">
        <v>179.34574351039799</v>
      </c>
      <c r="K12" s="4">
        <v>221.999540962449</v>
      </c>
      <c r="L12" s="4">
        <v>236.723008238722</v>
      </c>
      <c r="M12" s="4"/>
    </row>
    <row r="13" spans="1:13" x14ac:dyDescent="0.25">
      <c r="A13" t="s">
        <v>190</v>
      </c>
      <c r="B13" s="4"/>
      <c r="C13" s="4"/>
      <c r="D13" s="4"/>
      <c r="E13" s="4"/>
      <c r="F13" s="4"/>
      <c r="G13" s="4"/>
      <c r="H13" s="4"/>
      <c r="I13" s="4"/>
      <c r="J13" s="4"/>
      <c r="K13" s="4"/>
      <c r="L13" s="4"/>
      <c r="M13" s="4"/>
    </row>
    <row r="14" spans="1:13" x14ac:dyDescent="0.25">
      <c r="A14" t="s">
        <v>191</v>
      </c>
      <c r="B14" s="4"/>
      <c r="C14" s="4"/>
      <c r="D14" s="4"/>
      <c r="E14" s="4"/>
      <c r="F14" s="4"/>
      <c r="G14" s="4"/>
      <c r="H14" s="4"/>
      <c r="I14" s="4">
        <v>0</v>
      </c>
      <c r="J14" s="4"/>
      <c r="K14" s="4"/>
      <c r="L14" s="4"/>
      <c r="M14" s="4"/>
    </row>
    <row r="15" spans="1:13" x14ac:dyDescent="0.25">
      <c r="A15" t="s">
        <v>192</v>
      </c>
      <c r="B15" s="4"/>
      <c r="C15" s="4"/>
      <c r="D15" s="4"/>
      <c r="E15" s="4"/>
      <c r="F15" s="4"/>
      <c r="G15" s="4"/>
      <c r="H15" s="4"/>
      <c r="I15" s="4"/>
      <c r="J15" s="4"/>
      <c r="K15" s="4">
        <v>1.8497720816542201E-2</v>
      </c>
      <c r="L15" s="4"/>
      <c r="M15" s="4"/>
    </row>
    <row r="16" spans="1:13" x14ac:dyDescent="0.25">
      <c r="A16" t="s">
        <v>193</v>
      </c>
      <c r="B16" s="4"/>
      <c r="C16" s="4"/>
      <c r="D16" s="4"/>
      <c r="E16" s="4"/>
      <c r="F16" s="4">
        <v>659.92080950286004</v>
      </c>
      <c r="G16" s="4">
        <v>700.15753544547499</v>
      </c>
      <c r="H16" s="4">
        <v>568.44666264964405</v>
      </c>
      <c r="I16" s="4">
        <v>586.00148576754702</v>
      </c>
      <c r="J16" s="4">
        <v>604.50702069862598</v>
      </c>
      <c r="K16" s="4">
        <v>1552.04885372238</v>
      </c>
      <c r="L16" s="4">
        <v>1787.2067535389299</v>
      </c>
      <c r="M16" s="4">
        <v>2673.5576674150698</v>
      </c>
    </row>
    <row r="17" spans="1:13" x14ac:dyDescent="0.25">
      <c r="A17" t="s">
        <v>249</v>
      </c>
      <c r="B17" s="4"/>
      <c r="C17" s="4"/>
      <c r="D17" s="4"/>
      <c r="E17" s="4"/>
      <c r="F17" s="4"/>
      <c r="G17" s="4"/>
      <c r="H17" s="4"/>
      <c r="I17" s="4"/>
      <c r="J17" s="4"/>
      <c r="K17" s="4"/>
      <c r="L17" s="4"/>
      <c r="M17" s="4"/>
    </row>
    <row r="18" spans="1:13" x14ac:dyDescent="0.25">
      <c r="A18" t="s">
        <v>194</v>
      </c>
      <c r="B18" s="4"/>
      <c r="C18" s="4"/>
      <c r="D18" s="4"/>
      <c r="E18" s="4"/>
      <c r="F18" s="4"/>
      <c r="G18" s="4"/>
      <c r="H18" s="4"/>
      <c r="I18" s="4"/>
      <c r="J18" s="4"/>
      <c r="K18" s="4">
        <v>1.4610011641443501</v>
      </c>
      <c r="L18" s="4">
        <v>3.3039647577092497E-2</v>
      </c>
      <c r="M18" s="4"/>
    </row>
    <row r="19" spans="1:13" x14ac:dyDescent="0.25">
      <c r="A19" t="s">
        <v>195</v>
      </c>
      <c r="B19" s="4"/>
      <c r="C19" s="4"/>
      <c r="D19" s="4"/>
      <c r="E19" s="4"/>
      <c r="F19" s="4"/>
      <c r="G19" s="4"/>
      <c r="H19" s="4"/>
      <c r="I19" s="4"/>
      <c r="J19" s="4"/>
      <c r="K19" s="4"/>
      <c r="L19" s="4"/>
      <c r="M19" s="4"/>
    </row>
    <row r="20" spans="1:13" x14ac:dyDescent="0.25">
      <c r="A20" t="s">
        <v>196</v>
      </c>
      <c r="B20" s="4"/>
      <c r="C20" s="4"/>
      <c r="D20" s="4"/>
      <c r="E20" s="4"/>
      <c r="F20" s="4"/>
      <c r="G20" s="4"/>
      <c r="H20" s="4"/>
      <c r="I20" s="4"/>
      <c r="J20" s="4"/>
      <c r="K20" s="4"/>
      <c r="L20" s="4">
        <v>737.68817809813402</v>
      </c>
      <c r="M20" s="4">
        <v>828.42944099744204</v>
      </c>
    </row>
    <row r="21" spans="1:13" x14ac:dyDescent="0.25">
      <c r="A21" t="s">
        <v>197</v>
      </c>
      <c r="B21" s="4"/>
      <c r="C21" s="4"/>
      <c r="D21" s="4"/>
      <c r="E21" s="4"/>
      <c r="F21" s="4"/>
      <c r="G21" s="4"/>
      <c r="H21" s="4"/>
      <c r="I21" s="4"/>
      <c r="J21" s="4"/>
      <c r="K21" s="4"/>
      <c r="L21" s="4">
        <v>1400.5503297386499</v>
      </c>
      <c r="M21" s="4"/>
    </row>
    <row r="22" spans="1:13" x14ac:dyDescent="0.25">
      <c r="A22" t="s">
        <v>198</v>
      </c>
      <c r="B22" s="4"/>
      <c r="C22" s="4"/>
      <c r="D22" s="4"/>
      <c r="E22" s="4"/>
      <c r="F22" s="4"/>
      <c r="G22" s="4"/>
      <c r="H22" s="4"/>
      <c r="I22" s="4"/>
      <c r="J22" s="4"/>
      <c r="K22" s="4"/>
      <c r="L22" s="4"/>
      <c r="M22" s="4"/>
    </row>
    <row r="23" spans="1:13" x14ac:dyDescent="0.25">
      <c r="A23" t="s">
        <v>199</v>
      </c>
      <c r="B23" s="4"/>
      <c r="C23" s="4"/>
      <c r="D23" s="4"/>
      <c r="E23" s="4"/>
      <c r="F23" s="4"/>
      <c r="G23" s="4"/>
      <c r="H23" s="4"/>
      <c r="I23" s="4"/>
      <c r="J23" s="4"/>
      <c r="K23" s="4"/>
      <c r="L23" s="4"/>
      <c r="M23" s="4"/>
    </row>
    <row r="24" spans="1:13" x14ac:dyDescent="0.25">
      <c r="A24" t="s">
        <v>200</v>
      </c>
      <c r="B24" s="4"/>
      <c r="C24" s="4"/>
      <c r="D24" s="4"/>
      <c r="E24" s="4"/>
      <c r="F24" s="4"/>
      <c r="G24" s="4"/>
      <c r="H24" s="4"/>
      <c r="I24" s="4"/>
      <c r="J24" s="4"/>
      <c r="K24" s="4">
        <v>2029.67444540478</v>
      </c>
      <c r="L24" s="4">
        <v>1335.6567743430301</v>
      </c>
      <c r="M24" s="4">
        <v>1634.6625178491499</v>
      </c>
    </row>
    <row r="25" spans="1:13" x14ac:dyDescent="0.25">
      <c r="A25" t="s">
        <v>201</v>
      </c>
      <c r="B25" s="4"/>
      <c r="C25" s="4"/>
      <c r="D25" s="4"/>
      <c r="E25" s="4"/>
      <c r="F25" s="4"/>
      <c r="G25" s="4"/>
      <c r="H25" s="4"/>
      <c r="I25" s="4"/>
      <c r="J25" s="4"/>
      <c r="K25" s="4"/>
      <c r="L25" s="4"/>
      <c r="M25" s="4"/>
    </row>
    <row r="26" spans="1:13" x14ac:dyDescent="0.25">
      <c r="A26" t="s">
        <v>202</v>
      </c>
      <c r="B26" s="4"/>
      <c r="C26" s="4"/>
      <c r="D26" s="4"/>
      <c r="E26" s="4"/>
      <c r="F26" s="4"/>
      <c r="G26" s="4"/>
      <c r="H26" s="4">
        <v>0.87873754152823902</v>
      </c>
      <c r="I26" s="4">
        <v>2.5338223308883498</v>
      </c>
      <c r="J26" s="4">
        <v>14.687368862777999</v>
      </c>
      <c r="K26" s="4"/>
      <c r="L26" s="4"/>
      <c r="M26" s="4"/>
    </row>
    <row r="27" spans="1:13" x14ac:dyDescent="0.25">
      <c r="A27" t="s">
        <v>203</v>
      </c>
      <c r="B27" s="4"/>
      <c r="C27" s="4"/>
      <c r="D27" s="4"/>
      <c r="E27" s="4"/>
      <c r="F27" s="4"/>
      <c r="G27" s="4"/>
      <c r="H27" s="4"/>
      <c r="I27" s="4"/>
      <c r="J27" s="4"/>
      <c r="K27" s="4">
        <v>1498.1710933895699</v>
      </c>
      <c r="L27" s="4">
        <v>2528.1484505399999</v>
      </c>
      <c r="M27" s="4">
        <v>1388.1343649391199</v>
      </c>
    </row>
    <row r="28" spans="1:13" x14ac:dyDescent="0.25">
      <c r="A28" t="s">
        <v>204</v>
      </c>
      <c r="B28" s="4">
        <v>0</v>
      </c>
      <c r="C28" s="4"/>
      <c r="D28" s="4">
        <v>218.96737683089199</v>
      </c>
      <c r="E28" s="4">
        <v>0</v>
      </c>
      <c r="F28" s="4">
        <v>238.63228699551601</v>
      </c>
      <c r="G28" s="4">
        <v>160.23231694669201</v>
      </c>
      <c r="H28" s="4">
        <v>143.97015443345501</v>
      </c>
      <c r="I28" s="4">
        <v>89.714161974880895</v>
      </c>
      <c r="J28" s="4">
        <v>248.22134387351801</v>
      </c>
      <c r="K28" s="4">
        <v>275.94398599649901</v>
      </c>
      <c r="L28" s="4">
        <v>439.74581866197201</v>
      </c>
      <c r="M28" s="4">
        <v>741.58624577226601</v>
      </c>
    </row>
    <row r="29" spans="1:13" x14ac:dyDescent="0.25">
      <c r="A29" t="s">
        <v>205</v>
      </c>
      <c r="B29" s="4"/>
      <c r="C29" s="4"/>
      <c r="D29" s="4"/>
      <c r="E29" s="4"/>
      <c r="F29" s="4"/>
      <c r="G29" s="4"/>
      <c r="H29" s="4"/>
      <c r="I29" s="4"/>
      <c r="J29" s="4"/>
      <c r="K29" s="4"/>
      <c r="L29" s="4"/>
      <c r="M29" s="4"/>
    </row>
    <row r="30" spans="1:13" x14ac:dyDescent="0.25">
      <c r="A30" t="s">
        <v>206</v>
      </c>
      <c r="B30" s="4"/>
      <c r="C30" s="4"/>
      <c r="D30" s="4"/>
      <c r="E30" s="4"/>
      <c r="F30" s="4">
        <v>1334.09133977639</v>
      </c>
      <c r="G30" s="4">
        <v>1939.53475381055</v>
      </c>
      <c r="H30" s="4">
        <v>2014.7083729006699</v>
      </c>
      <c r="I30" s="4">
        <v>2168.6666666666702</v>
      </c>
      <c r="J30" s="4">
        <v>2600</v>
      </c>
      <c r="K30" s="4">
        <v>3407.6875828403299</v>
      </c>
      <c r="L30" s="4">
        <v>4590.2741693920598</v>
      </c>
      <c r="M30" s="4">
        <v>4776.6190292262099</v>
      </c>
    </row>
    <row r="31" spans="1:13" x14ac:dyDescent="0.25">
      <c r="A31" t="s">
        <v>207</v>
      </c>
      <c r="B31" s="4"/>
      <c r="C31" s="4"/>
      <c r="D31" s="4"/>
      <c r="E31" s="4"/>
      <c r="F31" s="4"/>
      <c r="G31" s="4">
        <v>9.2455621301775093</v>
      </c>
      <c r="H31" s="4">
        <v>17.608733932030301</v>
      </c>
      <c r="I31" s="4">
        <v>44.021834830075697</v>
      </c>
      <c r="J31" s="4">
        <v>122.072623419013</v>
      </c>
      <c r="K31" s="4">
        <v>83.227245687090999</v>
      </c>
      <c r="L31" s="4">
        <v>117.30343114214701</v>
      </c>
      <c r="M31" s="4">
        <v>336.46217986897</v>
      </c>
    </row>
    <row r="32" spans="1:13" x14ac:dyDescent="0.25">
      <c r="A32" t="s">
        <v>208</v>
      </c>
      <c r="B32" s="4"/>
      <c r="C32" s="4"/>
      <c r="D32" s="4"/>
      <c r="E32" s="4"/>
      <c r="F32" s="4">
        <v>0</v>
      </c>
      <c r="G32" s="4">
        <v>6.4935064935065003E-5</v>
      </c>
      <c r="H32" s="4"/>
      <c r="I32" s="4">
        <v>0</v>
      </c>
      <c r="J32" s="4"/>
      <c r="K32" s="4"/>
      <c r="L32" s="4"/>
      <c r="M32" s="4"/>
    </row>
    <row r="33" spans="1:13" x14ac:dyDescent="0.25">
      <c r="A33" t="s">
        <v>209</v>
      </c>
      <c r="B33" s="4">
        <v>213.06818181818201</v>
      </c>
      <c r="C33" s="4">
        <v>246.30541871921201</v>
      </c>
      <c r="D33" s="4">
        <v>274.72527472527503</v>
      </c>
      <c r="E33" s="4">
        <v>405.26849037487301</v>
      </c>
      <c r="F33" s="4">
        <v>611.47695202257796</v>
      </c>
      <c r="G33" s="4">
        <v>776.42276422764201</v>
      </c>
      <c r="H33" s="4">
        <v>1107.02584637787</v>
      </c>
      <c r="I33" s="4">
        <v>1578.7760416666699</v>
      </c>
      <c r="J33" s="4">
        <v>2389.5420792079199</v>
      </c>
      <c r="K33" s="4">
        <v>2061.4168440255398</v>
      </c>
      <c r="L33" s="4">
        <v>2297.33772061023</v>
      </c>
      <c r="M33" s="4">
        <v>2540.70615698862</v>
      </c>
    </row>
    <row r="34" spans="1:13" x14ac:dyDescent="0.25">
      <c r="A34" t="s">
        <v>210</v>
      </c>
      <c r="B34" s="4"/>
      <c r="C34" s="4"/>
      <c r="D34" s="4"/>
      <c r="E34" s="4"/>
      <c r="F34" s="4"/>
      <c r="G34" s="4">
        <v>175.28917441313399</v>
      </c>
      <c r="H34" s="4">
        <v>154.04465227681001</v>
      </c>
      <c r="I34" s="4"/>
      <c r="J34" s="4"/>
      <c r="K34" s="4"/>
      <c r="L34" s="4"/>
      <c r="M34" s="4"/>
    </row>
    <row r="35" spans="1:13" x14ac:dyDescent="0.25">
      <c r="A35" t="s">
        <v>211</v>
      </c>
      <c r="B35" s="4"/>
      <c r="C35" s="4"/>
      <c r="D35" s="4"/>
      <c r="E35" s="4"/>
      <c r="F35" s="4"/>
      <c r="G35" s="4"/>
      <c r="H35" s="4"/>
      <c r="I35" s="4"/>
      <c r="J35" s="4"/>
      <c r="K35" s="4"/>
      <c r="L35" s="4"/>
      <c r="M35" s="4"/>
    </row>
    <row r="36" spans="1:13" x14ac:dyDescent="0.25">
      <c r="A36" t="s">
        <v>212</v>
      </c>
      <c r="B36" s="4"/>
      <c r="C36" s="4"/>
      <c r="D36" s="4"/>
      <c r="E36" s="4"/>
      <c r="F36" s="4">
        <v>43.803036200856397</v>
      </c>
      <c r="G36" s="4">
        <v>67.324855491329501</v>
      </c>
      <c r="H36" s="4"/>
      <c r="I36" s="4"/>
      <c r="J36" s="4"/>
      <c r="K36" s="4"/>
      <c r="L36" s="4"/>
      <c r="M36" s="4"/>
    </row>
    <row r="37" spans="1:13" x14ac:dyDescent="0.25">
      <c r="A37" t="s">
        <v>213</v>
      </c>
      <c r="B37" s="4"/>
      <c r="C37" s="4"/>
      <c r="D37" s="4"/>
      <c r="E37" s="4"/>
      <c r="F37" s="4"/>
      <c r="G37" s="4">
        <v>7.8225093382896898</v>
      </c>
      <c r="H37" s="4">
        <v>8.1982018522274007</v>
      </c>
      <c r="I37" s="4">
        <v>16.715810940499001</v>
      </c>
      <c r="J37" s="4">
        <v>23.0428857960896</v>
      </c>
      <c r="K37" s="4"/>
      <c r="L37" s="4">
        <v>40.069830382414303</v>
      </c>
      <c r="M37" s="4">
        <v>37.230355874626703</v>
      </c>
    </row>
    <row r="38" spans="1:13" x14ac:dyDescent="0.25">
      <c r="A38" t="s">
        <v>214</v>
      </c>
      <c r="B38" s="4"/>
      <c r="C38" s="4"/>
      <c r="D38" s="4"/>
      <c r="E38" s="4"/>
      <c r="F38" s="4"/>
      <c r="G38" s="4">
        <v>3612.5941230486701</v>
      </c>
      <c r="H38" s="4">
        <v>11264.2747633649</v>
      </c>
      <c r="I38" s="4">
        <v>9529.1606077658998</v>
      </c>
      <c r="J38" s="4">
        <v>5450.8905852417302</v>
      </c>
      <c r="K38" s="4">
        <v>4639.0194972102099</v>
      </c>
      <c r="L38" s="4">
        <v>5429.8333751988603</v>
      </c>
      <c r="M38" s="4">
        <v>5687.8970647366295</v>
      </c>
    </row>
    <row r="39" spans="1:13" x14ac:dyDescent="0.25">
      <c r="A39" t="s">
        <v>215</v>
      </c>
      <c r="B39" s="4"/>
      <c r="C39" s="4"/>
      <c r="D39" s="4"/>
      <c r="E39" s="4"/>
      <c r="F39" s="4"/>
      <c r="G39" s="4"/>
      <c r="H39" s="4"/>
      <c r="I39" s="4">
        <v>1537.0310596833101</v>
      </c>
      <c r="J39" s="4">
        <v>1758.3598726114601</v>
      </c>
      <c r="K39" s="4">
        <v>2900.96406660824</v>
      </c>
      <c r="L39" s="4">
        <v>2885.2029681361901</v>
      </c>
      <c r="M39" s="4">
        <v>2760.1731601731599</v>
      </c>
    </row>
    <row r="40" spans="1:13" x14ac:dyDescent="0.25">
      <c r="A40" t="s">
        <v>216</v>
      </c>
      <c r="B40" s="4"/>
      <c r="C40" s="4"/>
      <c r="D40" s="4"/>
      <c r="E40" s="4"/>
      <c r="F40" s="4"/>
      <c r="G40" s="4"/>
      <c r="H40" s="4"/>
      <c r="I40" s="4"/>
      <c r="J40" s="4"/>
      <c r="K40" s="4">
        <v>1152.1069155217599</v>
      </c>
      <c r="L40" s="4">
        <v>1533.74233128834</v>
      </c>
      <c r="M40" s="4">
        <v>2522.1458416821001</v>
      </c>
    </row>
    <row r="41" spans="1:13" x14ac:dyDescent="0.25">
      <c r="A41" t="s">
        <v>217</v>
      </c>
      <c r="B41" s="4"/>
      <c r="C41" s="4"/>
      <c r="D41" s="4"/>
      <c r="E41" s="4"/>
      <c r="F41" s="4"/>
      <c r="G41" s="4"/>
      <c r="H41" s="4">
        <v>741.34633551729405</v>
      </c>
      <c r="I41" s="4">
        <v>580.13946763550098</v>
      </c>
      <c r="J41" s="4">
        <v>534.31905279414298</v>
      </c>
      <c r="K41" s="4">
        <v>583.89050387596899</v>
      </c>
      <c r="L41" s="4">
        <v>851.51555614901804</v>
      </c>
      <c r="M41" s="4">
        <v>1242.4504101795601</v>
      </c>
    </row>
    <row r="42" spans="1:13" x14ac:dyDescent="0.25">
      <c r="A42" t="s">
        <v>218</v>
      </c>
      <c r="B42" s="4"/>
      <c r="C42" s="4"/>
      <c r="D42" s="4"/>
      <c r="E42" s="4"/>
      <c r="F42" s="4"/>
      <c r="G42" s="4"/>
      <c r="H42" s="4"/>
      <c r="I42" s="4"/>
      <c r="J42" s="4"/>
      <c r="K42" s="4"/>
      <c r="L42" s="4"/>
      <c r="M42" s="4"/>
    </row>
    <row r="43" spans="1:13" x14ac:dyDescent="0.25">
      <c r="A43" t="s">
        <v>219</v>
      </c>
      <c r="B43" s="4"/>
      <c r="C43" s="4"/>
      <c r="D43" s="4"/>
      <c r="E43" s="4">
        <v>234.15099333237299</v>
      </c>
      <c r="F43" s="4">
        <v>243.31534537744301</v>
      </c>
      <c r="G43" s="4">
        <v>284.90307508353402</v>
      </c>
      <c r="H43" s="4">
        <v>584.92615895206302</v>
      </c>
      <c r="I43" s="4">
        <v>1150.5468906455401</v>
      </c>
      <c r="J43" s="4">
        <v>2564.4841323134801</v>
      </c>
      <c r="K43" s="4">
        <v>3131.1765039111401</v>
      </c>
      <c r="L43" s="4">
        <v>2983.4835852247002</v>
      </c>
      <c r="M43" s="4">
        <v>3118.2986622073599</v>
      </c>
    </row>
    <row r="44" spans="1:13" x14ac:dyDescent="0.25">
      <c r="A44" t="s">
        <v>220</v>
      </c>
      <c r="B44" s="4"/>
      <c r="C44" s="4"/>
      <c r="D44" s="4"/>
      <c r="E44" s="4"/>
      <c r="F44" s="4"/>
      <c r="G44" s="4"/>
      <c r="H44" s="4"/>
      <c r="I44" s="4">
        <v>0</v>
      </c>
      <c r="J44" s="4"/>
      <c r="K44" s="4">
        <v>0</v>
      </c>
      <c r="L44" s="4">
        <v>0</v>
      </c>
      <c r="M44" s="4">
        <v>0</v>
      </c>
    </row>
    <row r="45" spans="1:13" x14ac:dyDescent="0.25">
      <c r="A45" t="s">
        <v>221</v>
      </c>
      <c r="B45" s="4"/>
      <c r="C45" s="4"/>
      <c r="D45" s="4"/>
      <c r="E45" s="4"/>
      <c r="F45" s="4"/>
      <c r="G45" s="4"/>
      <c r="H45" s="4"/>
      <c r="I45" s="4"/>
      <c r="J45" s="4">
        <v>5.2835133250206097</v>
      </c>
      <c r="K45" s="4">
        <v>6.7575884097705101</v>
      </c>
      <c r="L45" s="4">
        <v>8.9461447126017806</v>
      </c>
      <c r="M45" s="4">
        <v>10.289784922344101</v>
      </c>
    </row>
    <row r="46" spans="1:13" x14ac:dyDescent="0.25">
      <c r="A46" t="s">
        <v>222</v>
      </c>
      <c r="B46" s="4"/>
      <c r="C46" s="4"/>
      <c r="D46" s="4"/>
      <c r="E46" s="4"/>
      <c r="F46" s="4">
        <v>49.365276951787202</v>
      </c>
      <c r="G46" s="4"/>
      <c r="H46" s="4">
        <v>795.41978895855596</v>
      </c>
      <c r="I46" s="4">
        <v>267.73378475814297</v>
      </c>
      <c r="J46" s="4">
        <v>1338.10192387963</v>
      </c>
      <c r="K46" s="4">
        <v>2253.4872534872502</v>
      </c>
      <c r="L46" s="4">
        <v>3281.4853312403202</v>
      </c>
      <c r="M46" s="4">
        <v>4368.2529403528397</v>
      </c>
    </row>
    <row r="47" spans="1:13" x14ac:dyDescent="0.25">
      <c r="A47" t="s">
        <v>223</v>
      </c>
      <c r="B47" s="4"/>
      <c r="C47" s="4"/>
      <c r="D47" s="4"/>
      <c r="E47" s="4"/>
      <c r="F47" s="4"/>
      <c r="G47" s="4"/>
      <c r="H47" s="4"/>
      <c r="I47" s="4">
        <v>1.54464009885697</v>
      </c>
      <c r="J47" s="4">
        <v>379.69707480633599</v>
      </c>
      <c r="K47" s="4">
        <v>545.10282509347701</v>
      </c>
      <c r="L47" s="4">
        <v>697.28736089030201</v>
      </c>
      <c r="M47" s="4">
        <v>1066.2622124172699</v>
      </c>
    </row>
    <row r="48" spans="1:13" x14ac:dyDescent="0.25">
      <c r="A48" t="s">
        <v>224</v>
      </c>
      <c r="B48" s="4"/>
      <c r="C48" s="4"/>
      <c r="D48" s="4"/>
      <c r="E48" s="4"/>
      <c r="F48" s="4">
        <v>629.24742008557803</v>
      </c>
      <c r="G48" s="4">
        <v>1113.83381599465</v>
      </c>
      <c r="H48" s="4">
        <v>830.70277454726704</v>
      </c>
      <c r="I48" s="4">
        <v>1012.4759536961</v>
      </c>
      <c r="J48" s="4">
        <v>269.762017566238</v>
      </c>
      <c r="K48" s="4">
        <v>263.36360929124498</v>
      </c>
      <c r="L48" s="4">
        <v>703.95391342572202</v>
      </c>
      <c r="M48" s="4">
        <v>2989.5971277025201</v>
      </c>
    </row>
    <row r="49" spans="1:13" x14ac:dyDescent="0.25">
      <c r="A49" t="s">
        <v>225</v>
      </c>
      <c r="B49" s="4"/>
      <c r="C49" s="4"/>
      <c r="D49" s="4"/>
      <c r="E49" s="4"/>
      <c r="F49" s="4"/>
      <c r="G49" s="4"/>
      <c r="H49" s="4">
        <v>629.38795209203397</v>
      </c>
      <c r="I49" s="4">
        <v>806.47575627127901</v>
      </c>
      <c r="J49" s="4">
        <v>836.83850959151903</v>
      </c>
      <c r="K49" s="4">
        <v>1039.6234409471399</v>
      </c>
      <c r="L49" s="4">
        <v>886.13371200491201</v>
      </c>
      <c r="M49" s="4">
        <v>2416.2200397203301</v>
      </c>
    </row>
    <row r="50" spans="1:13" x14ac:dyDescent="0.25">
      <c r="A50" s="9" t="s">
        <v>54</v>
      </c>
      <c r="B50" s="8"/>
      <c r="C50" s="8"/>
      <c r="D50" s="8"/>
      <c r="E50" s="8"/>
      <c r="F50" s="8"/>
      <c r="G50" s="8"/>
      <c r="H50" s="8"/>
      <c r="I50" s="8"/>
      <c r="J50" s="8"/>
      <c r="K50" s="8"/>
      <c r="L50" s="8"/>
      <c r="M50" s="8"/>
    </row>
    <row r="51" spans="1:13" x14ac:dyDescent="0.25">
      <c r="A51" t="s">
        <v>183</v>
      </c>
      <c r="B51" s="3">
        <v>2.2105648554399799</v>
      </c>
      <c r="C51" s="3">
        <v>2.7759977167351502</v>
      </c>
      <c r="D51" s="3">
        <v>0.43511092514239003</v>
      </c>
      <c r="E51" s="3"/>
      <c r="F51" s="3">
        <v>2.1912062856323802</v>
      </c>
      <c r="G51" s="3">
        <v>4.5934318976638497</v>
      </c>
      <c r="H51" s="3">
        <v>5.2364394481658003</v>
      </c>
      <c r="I51" s="3">
        <v>5.0441975557005501</v>
      </c>
      <c r="J51" s="3">
        <v>9.1419152853402093</v>
      </c>
      <c r="K51" s="3">
        <v>12.2043457020253</v>
      </c>
      <c r="L51" s="3">
        <v>18.5598493024989</v>
      </c>
      <c r="M51" s="3">
        <v>25.122007907722899</v>
      </c>
    </row>
    <row r="52" spans="1:13" x14ac:dyDescent="0.25">
      <c r="A52" t="s">
        <v>184</v>
      </c>
      <c r="B52" s="3"/>
      <c r="C52" s="3"/>
      <c r="D52" s="3"/>
      <c r="E52" s="3"/>
      <c r="F52" s="3">
        <v>3.43307895026427</v>
      </c>
      <c r="G52" s="3">
        <v>12.9296719460375</v>
      </c>
      <c r="H52" s="3">
        <v>17.659583919970199</v>
      </c>
      <c r="I52" s="3">
        <v>25.447262089424001</v>
      </c>
      <c r="J52" s="3">
        <v>28.304425456709701</v>
      </c>
      <c r="K52" s="3">
        <v>31.974895169760199</v>
      </c>
      <c r="L52" s="3">
        <v>36.074128630462098</v>
      </c>
      <c r="M52" s="3">
        <v>39.592520306295903</v>
      </c>
    </row>
    <row r="53" spans="1:13" x14ac:dyDescent="0.25">
      <c r="A53" t="s">
        <v>185</v>
      </c>
      <c r="B53" s="3"/>
      <c r="C53" s="3"/>
      <c r="D53" s="3"/>
      <c r="E53" s="3"/>
      <c r="F53" s="3">
        <v>8.4369682545764701E-4</v>
      </c>
      <c r="G53" s="3">
        <v>6.2368081494943803</v>
      </c>
      <c r="H53" s="3">
        <v>50.188770075794999</v>
      </c>
      <c r="I53" s="3">
        <v>6.3808096658468099</v>
      </c>
      <c r="J53" s="3">
        <v>9.8207007873523704</v>
      </c>
      <c r="K53" s="3">
        <v>19.327072458428301</v>
      </c>
      <c r="L53" s="3">
        <v>21.792940352722301</v>
      </c>
      <c r="M53" s="3">
        <v>67.781235201134805</v>
      </c>
    </row>
    <row r="54" spans="1:13" x14ac:dyDescent="0.25">
      <c r="A54" t="s">
        <v>186</v>
      </c>
      <c r="B54" s="3"/>
      <c r="C54" s="3"/>
      <c r="D54" s="3"/>
      <c r="E54" s="3">
        <v>0.13360135251094499</v>
      </c>
      <c r="F54" s="3">
        <v>0.18218257611798899</v>
      </c>
      <c r="G54" s="3">
        <v>0.318152933547311</v>
      </c>
      <c r="H54" s="3">
        <v>0.26214496089915001</v>
      </c>
      <c r="I54" s="3">
        <v>6.4049077668712204</v>
      </c>
      <c r="J54" s="3">
        <v>0.92922509212232296</v>
      </c>
      <c r="K54" s="3">
        <v>1.3098614579219501</v>
      </c>
      <c r="L54" s="3"/>
      <c r="M54" s="3"/>
    </row>
    <row r="55" spans="1:13" x14ac:dyDescent="0.25">
      <c r="A55" t="s">
        <v>187</v>
      </c>
      <c r="B55" s="3"/>
      <c r="C55" s="3"/>
      <c r="D55" s="3"/>
      <c r="E55" s="3"/>
      <c r="F55" s="3"/>
      <c r="G55" s="3">
        <v>0.51170291777188304</v>
      </c>
      <c r="H55" s="3">
        <v>0.67216436972398397</v>
      </c>
      <c r="I55" s="3">
        <v>13.059310907326401</v>
      </c>
      <c r="J55" s="3">
        <v>14.859315146038901</v>
      </c>
      <c r="K55" s="3">
        <v>37.444957364029797</v>
      </c>
      <c r="L55" s="3">
        <v>90.142169878798001</v>
      </c>
      <c r="M55" s="3">
        <v>65.413663207800695</v>
      </c>
    </row>
    <row r="56" spans="1:13" x14ac:dyDescent="0.25">
      <c r="A56" t="s">
        <v>189</v>
      </c>
      <c r="B56" s="3"/>
      <c r="C56" s="3"/>
      <c r="D56" s="3"/>
      <c r="E56" s="3"/>
      <c r="F56" s="3">
        <v>14.163673633082301</v>
      </c>
      <c r="G56" s="3">
        <v>21.261813420621898</v>
      </c>
      <c r="H56" s="3">
        <v>38.577875675184799</v>
      </c>
      <c r="I56" s="3">
        <v>29.520026703855699</v>
      </c>
      <c r="J56" s="3">
        <v>45.572255932683902</v>
      </c>
      <c r="K56" s="3">
        <v>47.628810839721901</v>
      </c>
      <c r="L56" s="3">
        <v>60.236878983771099</v>
      </c>
      <c r="M56" s="3">
        <v>57.091583758870797</v>
      </c>
    </row>
    <row r="57" spans="1:13" x14ac:dyDescent="0.25">
      <c r="A57" t="s">
        <v>188</v>
      </c>
      <c r="B57" s="3"/>
      <c r="C57" s="3"/>
      <c r="D57" s="3">
        <v>6.3224285714290004E-6</v>
      </c>
      <c r="E57" s="3"/>
      <c r="F57" s="3"/>
      <c r="G57" s="3"/>
      <c r="H57" s="3">
        <v>19.332998678580601</v>
      </c>
      <c r="I57" s="3">
        <v>2.25303285001895</v>
      </c>
      <c r="J57" s="3">
        <v>2.4725669426442498</v>
      </c>
      <c r="K57" s="3">
        <v>3.3632934680662601</v>
      </c>
      <c r="L57" s="3">
        <v>4.2414276165288696</v>
      </c>
      <c r="M57" s="3"/>
    </row>
    <row r="58" spans="1:13" x14ac:dyDescent="0.25">
      <c r="A58" t="s">
        <v>190</v>
      </c>
      <c r="B58" s="3"/>
      <c r="C58" s="3"/>
      <c r="D58" s="3"/>
      <c r="E58" s="3">
        <v>1.4128417511654801</v>
      </c>
      <c r="F58" s="3">
        <v>2.0431258506278298</v>
      </c>
      <c r="G58" s="3">
        <v>3.2091212256958102</v>
      </c>
      <c r="H58" s="3">
        <v>3.1736485942157402</v>
      </c>
      <c r="I58" s="3">
        <v>11.2837293107061</v>
      </c>
      <c r="J58" s="3"/>
      <c r="K58" s="3"/>
      <c r="L58" s="3"/>
      <c r="M58" s="3"/>
    </row>
    <row r="59" spans="1:13" x14ac:dyDescent="0.25">
      <c r="A59" t="s">
        <v>191</v>
      </c>
      <c r="B59" s="3"/>
      <c r="C59" s="3"/>
      <c r="D59" s="3"/>
      <c r="E59" s="3"/>
      <c r="F59" s="3"/>
      <c r="G59" s="3">
        <v>0.32264777287816498</v>
      </c>
      <c r="H59" s="3">
        <v>0.51265406133866998</v>
      </c>
      <c r="I59" s="3">
        <v>17.9799671302893</v>
      </c>
      <c r="J59" s="3">
        <v>33.707016321912803</v>
      </c>
      <c r="K59" s="3">
        <v>34.544167410881002</v>
      </c>
      <c r="L59" s="3"/>
      <c r="M59" s="3"/>
    </row>
    <row r="60" spans="1:13" x14ac:dyDescent="0.25">
      <c r="A60" t="s">
        <v>192</v>
      </c>
      <c r="B60" s="3"/>
      <c r="C60" s="3"/>
      <c r="D60" s="3"/>
      <c r="E60" s="3"/>
      <c r="F60" s="3"/>
      <c r="G60" s="3">
        <v>24.780365695792899</v>
      </c>
      <c r="H60" s="3"/>
      <c r="I60" s="3">
        <v>7.45872420262664</v>
      </c>
      <c r="J60" s="3">
        <v>8.4494109494109502</v>
      </c>
      <c r="K60" s="3">
        <v>9.2914812460267004</v>
      </c>
      <c r="L60" s="3">
        <v>14.003956478733899</v>
      </c>
      <c r="M60" s="3">
        <v>19.538823587635601</v>
      </c>
    </row>
    <row r="61" spans="1:13" x14ac:dyDescent="0.25">
      <c r="A61" t="s">
        <v>193</v>
      </c>
      <c r="B61" s="3"/>
      <c r="C61" s="3"/>
      <c r="D61" s="3">
        <v>2.9048383567071001</v>
      </c>
      <c r="E61" s="3"/>
      <c r="F61" s="3">
        <v>2.89554774787192</v>
      </c>
      <c r="G61" s="3">
        <v>4.5817664328489398</v>
      </c>
      <c r="H61" s="3">
        <v>9.0661760915611307</v>
      </c>
      <c r="I61" s="3">
        <v>13.2775917315619</v>
      </c>
      <c r="J61" s="3">
        <v>18.7772814435119</v>
      </c>
      <c r="K61" s="3">
        <v>24.559190081061899</v>
      </c>
      <c r="L61" s="3">
        <v>29.767582411027298</v>
      </c>
      <c r="M61" s="3">
        <v>35.651110281841902</v>
      </c>
    </row>
    <row r="62" spans="1:13" x14ac:dyDescent="0.25">
      <c r="A62" t="s">
        <v>249</v>
      </c>
      <c r="B62" s="3"/>
      <c r="C62" s="3"/>
      <c r="D62" s="3"/>
      <c r="E62" s="3">
        <v>1.6564601116122799</v>
      </c>
      <c r="F62" s="3">
        <v>1.9267865429759601</v>
      </c>
      <c r="G62" s="3">
        <v>1.7739638440221499</v>
      </c>
      <c r="H62" s="3">
        <v>3.2316378133586499</v>
      </c>
      <c r="I62" s="3">
        <v>4.3744309225339597</v>
      </c>
      <c r="J62" s="3">
        <v>7.5980775332097998</v>
      </c>
      <c r="K62" s="3">
        <v>11.154422085884599</v>
      </c>
      <c r="L62" s="3">
        <v>18.703687280943601</v>
      </c>
      <c r="M62" s="3">
        <v>22.936174246113101</v>
      </c>
    </row>
    <row r="63" spans="1:13" x14ac:dyDescent="0.25">
      <c r="A63" t="s">
        <v>194</v>
      </c>
      <c r="B63" s="3"/>
      <c r="C63" s="3"/>
      <c r="D63" s="3"/>
      <c r="E63" s="3"/>
      <c r="F63" s="3"/>
      <c r="G63" s="3"/>
      <c r="H63" s="3"/>
      <c r="I63" s="3"/>
      <c r="J63" s="3">
        <v>143.60366465863501</v>
      </c>
      <c r="K63" s="3">
        <v>208.31611143258701</v>
      </c>
      <c r="L63" s="3">
        <v>384.32394554191097</v>
      </c>
      <c r="M63" s="3"/>
    </row>
    <row r="64" spans="1:13" x14ac:dyDescent="0.25">
      <c r="A64" t="s">
        <v>195</v>
      </c>
      <c r="B64" s="3"/>
      <c r="C64" s="3"/>
      <c r="D64" s="3"/>
      <c r="E64" s="3"/>
      <c r="F64" s="3"/>
      <c r="G64" s="3"/>
      <c r="H64" s="3"/>
      <c r="I64" s="3"/>
      <c r="J64" s="3"/>
      <c r="K64" s="3"/>
      <c r="L64" s="3"/>
      <c r="M64" s="3"/>
    </row>
    <row r="65" spans="1:13" x14ac:dyDescent="0.25">
      <c r="A65" t="s">
        <v>196</v>
      </c>
      <c r="B65" s="3"/>
      <c r="C65" s="3"/>
      <c r="D65" s="3"/>
      <c r="E65" s="3"/>
      <c r="F65" s="3"/>
      <c r="G65" s="3"/>
      <c r="H65" s="3"/>
      <c r="I65" s="3"/>
      <c r="J65" s="3"/>
      <c r="K65" s="3">
        <v>5.2719679063148002</v>
      </c>
      <c r="L65" s="3">
        <v>16.677661235349699</v>
      </c>
      <c r="M65" s="3">
        <v>17.702566989965401</v>
      </c>
    </row>
    <row r="66" spans="1:13" x14ac:dyDescent="0.25">
      <c r="A66" t="s">
        <v>197</v>
      </c>
      <c r="B66" s="3"/>
      <c r="C66" s="3"/>
      <c r="D66" s="3"/>
      <c r="E66" s="3">
        <v>96.418732782369105</v>
      </c>
      <c r="F66" s="3">
        <v>93.405566971791501</v>
      </c>
      <c r="G66" s="3"/>
      <c r="H66" s="3"/>
      <c r="I66" s="3"/>
      <c r="J66" s="3"/>
      <c r="K66" s="3"/>
      <c r="L66" s="3">
        <v>19.810676204819298</v>
      </c>
      <c r="M66" s="3"/>
    </row>
    <row r="67" spans="1:13" x14ac:dyDescent="0.25">
      <c r="A67" t="s">
        <v>198</v>
      </c>
      <c r="B67" s="3"/>
      <c r="C67" s="3"/>
      <c r="D67" s="3"/>
      <c r="E67" s="3"/>
      <c r="F67" s="3"/>
      <c r="G67" s="3"/>
      <c r="H67" s="3"/>
      <c r="I67" s="3">
        <v>12.7912453721669</v>
      </c>
      <c r="J67" s="3">
        <v>16.945388858610801</v>
      </c>
      <c r="K67" s="3"/>
      <c r="L67" s="3"/>
      <c r="M67" s="3"/>
    </row>
    <row r="68" spans="1:13" x14ac:dyDescent="0.25">
      <c r="A68" t="s">
        <v>199</v>
      </c>
      <c r="B68" s="3"/>
      <c r="C68" s="3"/>
      <c r="D68" s="3"/>
      <c r="E68" s="3"/>
      <c r="F68" s="3"/>
      <c r="G68" s="3"/>
      <c r="H68" s="3"/>
      <c r="I68" s="3"/>
      <c r="J68" s="3"/>
      <c r="K68" s="3">
        <v>233.99649938450699</v>
      </c>
      <c r="L68" s="3"/>
      <c r="M68" s="3"/>
    </row>
    <row r="69" spans="1:13" x14ac:dyDescent="0.25">
      <c r="A69" t="s">
        <v>200</v>
      </c>
      <c r="B69" s="3"/>
      <c r="C69" s="3"/>
      <c r="D69" s="3"/>
      <c r="E69" s="3">
        <v>0.55459462793022796</v>
      </c>
      <c r="F69" s="3">
        <v>1.0128349483155401</v>
      </c>
      <c r="G69" s="3">
        <v>6.6152087215115598</v>
      </c>
      <c r="H69" s="3">
        <v>9.5193695921971599</v>
      </c>
      <c r="I69" s="3">
        <v>12.2367393226844</v>
      </c>
      <c r="J69" s="3">
        <v>28.7110949675724</v>
      </c>
      <c r="K69" s="3">
        <v>42.958067451844101</v>
      </c>
      <c r="L69" s="3">
        <v>61.2743411621286</v>
      </c>
      <c r="M69" s="3">
        <v>97.449622867339897</v>
      </c>
    </row>
    <row r="70" spans="1:13" x14ac:dyDescent="0.25">
      <c r="A70" t="s">
        <v>201</v>
      </c>
      <c r="B70" s="3"/>
      <c r="C70" s="3"/>
      <c r="D70" s="3"/>
      <c r="E70" s="3"/>
      <c r="F70" s="3"/>
      <c r="G70" s="3"/>
      <c r="H70" s="3"/>
      <c r="I70" s="3"/>
      <c r="J70" s="3"/>
      <c r="K70" s="3"/>
      <c r="L70" s="3"/>
      <c r="M70" s="3"/>
    </row>
    <row r="71" spans="1:13" x14ac:dyDescent="0.25">
      <c r="A71" t="s">
        <v>202</v>
      </c>
      <c r="B71" s="3"/>
      <c r="C71" s="3"/>
      <c r="D71" s="3"/>
      <c r="E71" s="3"/>
      <c r="F71" s="3"/>
      <c r="G71" s="3"/>
      <c r="H71" s="3">
        <v>5.2017991221151103</v>
      </c>
      <c r="I71" s="3">
        <v>4.3478501333030799</v>
      </c>
      <c r="J71" s="3">
        <v>5.7322721805665697</v>
      </c>
      <c r="K71" s="3">
        <v>14.6954085098075</v>
      </c>
      <c r="L71" s="3">
        <v>21.7554392017691</v>
      </c>
      <c r="M71" s="3">
        <v>27.229606552282199</v>
      </c>
    </row>
    <row r="72" spans="1:13" x14ac:dyDescent="0.25">
      <c r="A72" t="s">
        <v>203</v>
      </c>
      <c r="B72" s="3"/>
      <c r="C72" s="3"/>
      <c r="D72" s="3"/>
      <c r="E72" s="3"/>
      <c r="F72" s="3"/>
      <c r="G72" s="3">
        <v>2.2390794512234899</v>
      </c>
      <c r="H72" s="3">
        <v>2.5854756149498099</v>
      </c>
      <c r="I72" s="3">
        <v>3.635004771812</v>
      </c>
      <c r="J72" s="3">
        <v>21.9330576038451</v>
      </c>
      <c r="K72" s="3">
        <v>28.5664196177223</v>
      </c>
      <c r="L72" s="3">
        <v>36.909894824674602</v>
      </c>
      <c r="M72" s="3">
        <v>30.040984706374299</v>
      </c>
    </row>
    <row r="73" spans="1:13" x14ac:dyDescent="0.25">
      <c r="A73" t="s">
        <v>204</v>
      </c>
      <c r="B73" s="3">
        <v>1.8648171170581701E-4</v>
      </c>
      <c r="C73" s="3"/>
      <c r="D73" s="3">
        <v>9.1790036847142999E-5</v>
      </c>
      <c r="E73" s="3"/>
      <c r="F73" s="3">
        <v>1.6753470796023999</v>
      </c>
      <c r="G73" s="3">
        <v>1.0527563208723401</v>
      </c>
      <c r="H73" s="3">
        <v>1.0293770305513801</v>
      </c>
      <c r="I73" s="3"/>
      <c r="J73" s="3">
        <v>1.41612695773056</v>
      </c>
      <c r="K73" s="3">
        <v>4.5238857754691404</v>
      </c>
      <c r="L73" s="3">
        <v>5.6215095756277202</v>
      </c>
      <c r="M73" s="3">
        <v>9.7575806109844496</v>
      </c>
    </row>
    <row r="74" spans="1:13" x14ac:dyDescent="0.25">
      <c r="A74" t="s">
        <v>205</v>
      </c>
      <c r="B74" s="3"/>
      <c r="C74" s="3"/>
      <c r="D74" s="3"/>
      <c r="E74" s="3"/>
      <c r="F74" s="3"/>
      <c r="G74" s="3"/>
      <c r="H74" s="3"/>
      <c r="I74" s="3"/>
      <c r="J74" s="3"/>
      <c r="K74" s="3"/>
      <c r="L74" s="3">
        <v>28.164301140634301</v>
      </c>
      <c r="M74" s="3"/>
    </row>
    <row r="75" spans="1:13" x14ac:dyDescent="0.25">
      <c r="A75" t="s">
        <v>206</v>
      </c>
      <c r="B75" s="3"/>
      <c r="C75" s="3"/>
      <c r="D75" s="3"/>
      <c r="E75" s="3"/>
      <c r="F75" s="3">
        <v>2.8680538516941398</v>
      </c>
      <c r="G75" s="3">
        <v>3.6895148222544401</v>
      </c>
      <c r="H75" s="3">
        <v>4.9656878491703598</v>
      </c>
      <c r="I75" s="3"/>
      <c r="J75" s="3"/>
      <c r="K75" s="3">
        <v>19.8845806599921</v>
      </c>
      <c r="L75" s="3">
        <v>17.904354735076399</v>
      </c>
      <c r="M75" s="3">
        <v>23.421344875427199</v>
      </c>
    </row>
    <row r="76" spans="1:13" x14ac:dyDescent="0.25">
      <c r="A76" t="s">
        <v>207</v>
      </c>
      <c r="B76" s="3"/>
      <c r="C76" s="3"/>
      <c r="D76" s="3"/>
      <c r="E76" s="3"/>
      <c r="F76" s="3">
        <v>0.91074681238615696</v>
      </c>
      <c r="G76" s="3">
        <v>1.05338735665505</v>
      </c>
      <c r="H76" s="3">
        <v>1.8923896674373999</v>
      </c>
      <c r="I76" s="3">
        <v>4.7992838458126501</v>
      </c>
      <c r="J76" s="3">
        <v>6.5956931003480497</v>
      </c>
      <c r="K76" s="3">
        <v>9.8179628853486491</v>
      </c>
      <c r="L76" s="3">
        <v>16.6638016038813</v>
      </c>
      <c r="M76" s="3">
        <v>23.835171861359299</v>
      </c>
    </row>
    <row r="77" spans="1:13" x14ac:dyDescent="0.25">
      <c r="A77" t="s">
        <v>208</v>
      </c>
      <c r="B77" s="3"/>
      <c r="C77" s="3"/>
      <c r="D77" s="3"/>
      <c r="E77" s="3"/>
      <c r="F77" s="3">
        <v>0</v>
      </c>
      <c r="G77" s="3">
        <v>2.7880752401017501</v>
      </c>
      <c r="H77" s="3"/>
      <c r="I77" s="3">
        <v>0</v>
      </c>
      <c r="J77" s="3"/>
      <c r="K77" s="3"/>
      <c r="L77" s="3"/>
      <c r="M77" s="3"/>
    </row>
    <row r="78" spans="1:13" x14ac:dyDescent="0.25">
      <c r="A78" t="s">
        <v>209</v>
      </c>
      <c r="B78" s="3"/>
      <c r="C78" s="3"/>
      <c r="D78" s="3"/>
      <c r="E78" s="3"/>
      <c r="F78" s="3">
        <v>2.48924400737554</v>
      </c>
      <c r="G78" s="3">
        <v>1.78334071776695</v>
      </c>
      <c r="H78" s="3">
        <v>2.0373514431239399</v>
      </c>
      <c r="I78" s="3">
        <v>2.1180712032447002</v>
      </c>
      <c r="J78" s="3">
        <v>1.7822736030828501</v>
      </c>
      <c r="K78" s="3">
        <v>50.2231352270312</v>
      </c>
      <c r="L78" s="3">
        <v>66.902794175521393</v>
      </c>
      <c r="M78" s="3">
        <v>64.755438199421604</v>
      </c>
    </row>
    <row r="79" spans="1:13" x14ac:dyDescent="0.25">
      <c r="A79" t="s">
        <v>210</v>
      </c>
      <c r="B79" s="3"/>
      <c r="C79" s="3"/>
      <c r="D79" s="3"/>
      <c r="E79" s="3"/>
      <c r="F79" s="3"/>
      <c r="G79" s="3">
        <v>1.8428426039499499</v>
      </c>
      <c r="H79" s="3">
        <v>15.4530031752832</v>
      </c>
      <c r="I79" s="3"/>
      <c r="J79" s="3">
        <v>14.097504635640099</v>
      </c>
      <c r="K79" s="3">
        <v>6.22854758587936</v>
      </c>
      <c r="L79" s="3">
        <v>39.0106636901847</v>
      </c>
      <c r="M79" s="3"/>
    </row>
    <row r="80" spans="1:13" x14ac:dyDescent="0.25">
      <c r="A80" t="s">
        <v>211</v>
      </c>
      <c r="B80" s="3"/>
      <c r="C80" s="3"/>
      <c r="D80" s="3"/>
      <c r="E80" s="3"/>
      <c r="F80" s="3"/>
      <c r="G80" s="3"/>
      <c r="H80" s="3"/>
      <c r="I80" s="3">
        <v>9.6557608692363299</v>
      </c>
      <c r="J80" s="3"/>
      <c r="K80" s="3">
        <v>45.818042578783697</v>
      </c>
      <c r="L80" s="3">
        <v>47.7353231417381</v>
      </c>
      <c r="M80" s="3">
        <v>63.178718165091901</v>
      </c>
    </row>
    <row r="81" spans="1:13" x14ac:dyDescent="0.25">
      <c r="A81" t="s">
        <v>212</v>
      </c>
      <c r="B81" s="3"/>
      <c r="C81" s="3"/>
      <c r="D81" s="3"/>
      <c r="E81" s="3"/>
      <c r="F81" s="3">
        <v>4.5414546056117597</v>
      </c>
      <c r="G81" s="3">
        <v>7.7046166496004096</v>
      </c>
      <c r="H81" s="3"/>
      <c r="I81" s="3"/>
      <c r="J81" s="3"/>
      <c r="K81" s="3"/>
      <c r="L81" s="3"/>
      <c r="M81" s="3"/>
    </row>
    <row r="82" spans="1:13" x14ac:dyDescent="0.25">
      <c r="A82" t="s">
        <v>213</v>
      </c>
      <c r="B82" s="3"/>
      <c r="C82" s="3"/>
      <c r="D82" s="3"/>
      <c r="E82" s="3"/>
      <c r="F82" s="3"/>
      <c r="G82" s="3">
        <v>11.7585857708043</v>
      </c>
      <c r="H82" s="3">
        <v>11.152627034586899</v>
      </c>
      <c r="I82" s="3">
        <v>15.353163402677</v>
      </c>
      <c r="J82" s="3">
        <v>24.251234640345199</v>
      </c>
      <c r="K82" s="3">
        <v>42.722427276645803</v>
      </c>
      <c r="L82" s="3">
        <v>57.097231428326197</v>
      </c>
      <c r="M82" s="3">
        <v>76.743735440681704</v>
      </c>
    </row>
    <row r="83" spans="1:13" x14ac:dyDescent="0.25">
      <c r="A83" t="s">
        <v>214</v>
      </c>
      <c r="B83" s="3"/>
      <c r="C83" s="3"/>
      <c r="D83" s="3"/>
      <c r="E83" s="3"/>
      <c r="F83" s="3"/>
      <c r="G83" s="3">
        <v>5.0574727460180799</v>
      </c>
      <c r="H83" s="3">
        <v>4.6304753831885304</v>
      </c>
      <c r="I83" s="3">
        <v>7.6160347695074897</v>
      </c>
      <c r="J83" s="3">
        <v>14.3877112595844</v>
      </c>
      <c r="K83" s="3">
        <v>16.094704232451502</v>
      </c>
      <c r="L83" s="3">
        <v>15.4789641315888</v>
      </c>
      <c r="M83" s="3">
        <v>17.3198252916638</v>
      </c>
    </row>
    <row r="84" spans="1:13" x14ac:dyDescent="0.25">
      <c r="A84" t="s">
        <v>215</v>
      </c>
      <c r="B84" s="3"/>
      <c r="C84" s="3"/>
      <c r="D84" s="3"/>
      <c r="E84" s="3"/>
      <c r="F84" s="3"/>
      <c r="G84" s="3">
        <v>6.8468890635045403</v>
      </c>
      <c r="H84" s="3">
        <v>10.3338277674182</v>
      </c>
      <c r="I84" s="3">
        <v>9.7054889111538394</v>
      </c>
      <c r="J84" s="3">
        <v>14.059350361052299</v>
      </c>
      <c r="K84" s="3">
        <v>15.7494487692931</v>
      </c>
      <c r="L84" s="3">
        <v>19.2924651001474</v>
      </c>
      <c r="M84" s="3">
        <v>28.379480087924801</v>
      </c>
    </row>
    <row r="85" spans="1:13" x14ac:dyDescent="0.25">
      <c r="A85" t="s">
        <v>216</v>
      </c>
      <c r="B85" s="3"/>
      <c r="C85" s="3"/>
      <c r="D85" s="3"/>
      <c r="E85" s="3"/>
      <c r="F85" s="3"/>
      <c r="G85" s="3"/>
      <c r="H85" s="3"/>
      <c r="I85" s="3"/>
      <c r="J85" s="3"/>
      <c r="K85" s="3">
        <v>23.931243270912301</v>
      </c>
      <c r="L85" s="3">
        <v>35.927454576948598</v>
      </c>
      <c r="M85" s="3">
        <v>38.468129334364399</v>
      </c>
    </row>
    <row r="86" spans="1:13" x14ac:dyDescent="0.25">
      <c r="A86" t="s">
        <v>217</v>
      </c>
      <c r="B86" s="3"/>
      <c r="C86" s="3"/>
      <c r="D86" s="3"/>
      <c r="E86" s="3"/>
      <c r="F86" s="3"/>
      <c r="G86" s="3"/>
      <c r="H86" s="3">
        <v>19.41374811328</v>
      </c>
      <c r="I86" s="3">
        <v>37.055119248909897</v>
      </c>
      <c r="J86" s="3">
        <v>57.738534402741699</v>
      </c>
      <c r="K86" s="3">
        <v>76.029891189296706</v>
      </c>
      <c r="L86" s="3">
        <v>84.908589655529298</v>
      </c>
      <c r="M86" s="3">
        <v>127.98606583697401</v>
      </c>
    </row>
    <row r="87" spans="1:13" x14ac:dyDescent="0.25">
      <c r="A87" t="s">
        <v>218</v>
      </c>
      <c r="B87" s="3"/>
      <c r="C87" s="3"/>
      <c r="D87" s="3"/>
      <c r="E87" s="3"/>
      <c r="F87" s="3"/>
      <c r="G87" s="3">
        <v>9.6999999999999998E-17</v>
      </c>
      <c r="H87" s="3"/>
      <c r="I87" s="3"/>
      <c r="J87" s="3"/>
      <c r="K87" s="3"/>
      <c r="L87" s="3"/>
      <c r="M87" s="3"/>
    </row>
    <row r="88" spans="1:13" x14ac:dyDescent="0.25">
      <c r="A88" t="s">
        <v>219</v>
      </c>
      <c r="B88" s="3"/>
      <c r="C88" s="3"/>
      <c r="D88" s="3">
        <v>1.5706570488359699</v>
      </c>
      <c r="E88" s="3">
        <v>3.1437181893050901</v>
      </c>
      <c r="F88" s="3">
        <v>5.26797476275798</v>
      </c>
      <c r="G88" s="3">
        <v>9.3503026821285697</v>
      </c>
      <c r="H88" s="3">
        <v>19.145358504986</v>
      </c>
      <c r="I88" s="3">
        <v>15.613525527977</v>
      </c>
      <c r="J88" s="3">
        <v>24.447167416218701</v>
      </c>
      <c r="K88" s="3">
        <v>28.1378684113341</v>
      </c>
      <c r="L88" s="3">
        <v>32.195301008840303</v>
      </c>
      <c r="M88" s="3">
        <v>42.0822097130537</v>
      </c>
    </row>
    <row r="89" spans="1:13" x14ac:dyDescent="0.25">
      <c r="A89" t="s">
        <v>220</v>
      </c>
      <c r="B89" s="3"/>
      <c r="C89" s="3"/>
      <c r="D89" s="3"/>
      <c r="E89" s="3"/>
      <c r="F89" s="3">
        <v>6.2067929858604298</v>
      </c>
      <c r="G89" s="3">
        <v>3.3113886434655999</v>
      </c>
      <c r="H89" s="3">
        <v>3.5961874778734799</v>
      </c>
      <c r="I89" s="3">
        <v>6.1991947124515701</v>
      </c>
      <c r="J89" s="3"/>
      <c r="K89" s="3"/>
      <c r="L89" s="3"/>
      <c r="M89" s="3"/>
    </row>
    <row r="90" spans="1:13" x14ac:dyDescent="0.25">
      <c r="A90" t="s">
        <v>221</v>
      </c>
      <c r="B90" s="3"/>
      <c r="C90" s="3"/>
      <c r="D90" s="3"/>
      <c r="E90" s="3"/>
      <c r="F90" s="3"/>
      <c r="G90" s="3"/>
      <c r="H90" s="3"/>
      <c r="I90" s="3"/>
      <c r="J90" s="3">
        <v>58.266828612569697</v>
      </c>
      <c r="K90" s="3">
        <v>42.430341636932901</v>
      </c>
      <c r="L90" s="3">
        <v>40.2510200483053</v>
      </c>
      <c r="M90" s="3">
        <v>46.855657714064002</v>
      </c>
    </row>
    <row r="91" spans="1:13" x14ac:dyDescent="0.25">
      <c r="A91" t="s">
        <v>222</v>
      </c>
      <c r="B91" s="3"/>
      <c r="C91" s="3"/>
      <c r="D91" s="3"/>
      <c r="E91" s="3"/>
      <c r="F91" s="3">
        <v>2.61546724176914</v>
      </c>
      <c r="G91" s="3">
        <v>0.62096635774940501</v>
      </c>
      <c r="H91" s="3">
        <v>0.73990148485787199</v>
      </c>
      <c r="I91" s="3">
        <v>1.3616029622924199</v>
      </c>
      <c r="J91" s="3">
        <v>10.032434763519801</v>
      </c>
      <c r="K91" s="3">
        <v>17.2735953280697</v>
      </c>
      <c r="L91" s="3">
        <v>19.202786205067</v>
      </c>
      <c r="M91" s="3">
        <v>19.7958121907959</v>
      </c>
    </row>
    <row r="92" spans="1:13" x14ac:dyDescent="0.25">
      <c r="A92" t="s">
        <v>223</v>
      </c>
      <c r="B92" s="3"/>
      <c r="C92" s="3"/>
      <c r="D92" s="3"/>
      <c r="E92" s="3"/>
      <c r="F92" s="3"/>
      <c r="G92" s="3"/>
      <c r="H92" s="3">
        <v>0.13775580228659201</v>
      </c>
      <c r="I92" s="3">
        <v>8.02401240805279E-2</v>
      </c>
      <c r="J92" s="3">
        <v>11.045366381811901</v>
      </c>
      <c r="K92" s="3">
        <v>13.079088303353201</v>
      </c>
      <c r="L92" s="3">
        <v>15.2872651035067</v>
      </c>
      <c r="M92" s="3">
        <v>35.3846164458201</v>
      </c>
    </row>
    <row r="93" spans="1:13" x14ac:dyDescent="0.25">
      <c r="A93" t="s">
        <v>224</v>
      </c>
      <c r="B93" s="3"/>
      <c r="C93" s="3"/>
      <c r="D93" s="3"/>
      <c r="E93" s="3"/>
      <c r="F93" s="3"/>
      <c r="G93" s="3"/>
      <c r="H93" s="3"/>
      <c r="I93" s="3"/>
      <c r="J93" s="3"/>
      <c r="K93" s="3"/>
      <c r="L93" s="3">
        <v>39.011602233180199</v>
      </c>
      <c r="M93" s="3"/>
    </row>
    <row r="94" spans="1:13" x14ac:dyDescent="0.25">
      <c r="A94" t="s">
        <v>225</v>
      </c>
      <c r="B94" s="3"/>
      <c r="C94" s="3"/>
      <c r="D94" s="3"/>
      <c r="E94" s="3"/>
      <c r="F94" s="3">
        <v>1.20393527756874</v>
      </c>
      <c r="G94" s="3">
        <v>2.2509136825175098</v>
      </c>
      <c r="H94" s="3">
        <v>3.6564771977535102</v>
      </c>
      <c r="I94" s="3">
        <v>4.7204214072227098</v>
      </c>
      <c r="J94" s="3">
        <v>5.6099994617712703</v>
      </c>
      <c r="K94" s="3">
        <v>10.308980046056799</v>
      </c>
      <c r="L94" s="3">
        <v>11.713390741547</v>
      </c>
      <c r="M94" s="3">
        <v>15.6045797130985</v>
      </c>
    </row>
    <row r="96" spans="1:13" x14ac:dyDescent="0.25">
      <c r="A96" t="s">
        <v>23</v>
      </c>
    </row>
  </sheetData>
  <hyperlinks>
    <hyperlink ref="M1" location="Contents!A1" display="Return to Contents" xr:uid="{C3C2DEF1-5905-4400-82B5-E773714EFCB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18DA-F936-4EE8-A882-882F851EED3B}">
  <sheetPr codeName="Sheet12"/>
  <dimension ref="A1:P49"/>
  <sheetViews>
    <sheetView workbookViewId="0"/>
  </sheetViews>
  <sheetFormatPr defaultRowHeight="15" x14ac:dyDescent="0.25"/>
  <cols>
    <col min="1" max="1" width="30.5703125" customWidth="1"/>
    <col min="2" max="9" width="12.140625" customWidth="1"/>
    <col min="10" max="15" width="10.28515625" customWidth="1"/>
  </cols>
  <sheetData>
    <row r="1" spans="1:16" x14ac:dyDescent="0.25">
      <c r="A1" s="1" t="s">
        <v>55</v>
      </c>
      <c r="O1" s="34" t="s">
        <v>17</v>
      </c>
    </row>
    <row r="3" spans="1:16" x14ac:dyDescent="0.25">
      <c r="A3" s="6"/>
      <c r="B3" s="6">
        <v>2010</v>
      </c>
      <c r="C3" s="6">
        <v>2011</v>
      </c>
      <c r="D3" s="6">
        <v>2012</v>
      </c>
      <c r="E3" s="6">
        <v>2013</v>
      </c>
      <c r="F3" s="6">
        <v>2014</v>
      </c>
      <c r="G3" s="6">
        <v>2015</v>
      </c>
      <c r="H3" s="6">
        <v>2016</v>
      </c>
      <c r="I3" s="6">
        <v>2017</v>
      </c>
      <c r="J3" s="6">
        <v>2018</v>
      </c>
      <c r="K3" s="6">
        <v>2019</v>
      </c>
      <c r="L3" s="6">
        <v>2020</v>
      </c>
      <c r="M3" s="6">
        <v>2021</v>
      </c>
      <c r="N3" s="6">
        <v>2022</v>
      </c>
      <c r="O3" s="6">
        <v>2023</v>
      </c>
    </row>
    <row r="4" spans="1:16" x14ac:dyDescent="0.25">
      <c r="A4" t="s">
        <v>183</v>
      </c>
      <c r="B4" s="29">
        <v>1839.77097304414</v>
      </c>
      <c r="C4" s="29">
        <v>3584.4103115809799</v>
      </c>
      <c r="D4" s="29">
        <v>5532.1735953178604</v>
      </c>
      <c r="E4" s="29">
        <v>4066.1107091025401</v>
      </c>
      <c r="F4" s="29">
        <v>2426.8481231814499</v>
      </c>
      <c r="G4" s="29">
        <v>2977.53784194734</v>
      </c>
      <c r="H4" s="29">
        <v>4693.9118681033096</v>
      </c>
      <c r="I4" s="29">
        <v>6359.7036314503102</v>
      </c>
      <c r="J4" s="29">
        <v>6776.8636390156898</v>
      </c>
      <c r="K4" s="29">
        <v>4216.8433808916898</v>
      </c>
      <c r="L4" s="29">
        <v>6699.4511867737901</v>
      </c>
      <c r="M4" s="29">
        <v>11867.5977441262</v>
      </c>
      <c r="N4" s="29">
        <v>12969.9059294372</v>
      </c>
      <c r="O4" s="29">
        <v>19808.858747664199</v>
      </c>
      <c r="P4" s="29"/>
    </row>
    <row r="5" spans="1:16" x14ac:dyDescent="0.25">
      <c r="A5" t="s">
        <v>184</v>
      </c>
      <c r="B5" s="29">
        <v>2028.29670074924</v>
      </c>
      <c r="C5" s="29">
        <v>2591.2546069989698</v>
      </c>
      <c r="D5" s="29">
        <v>2318.8984894492201</v>
      </c>
      <c r="E5" s="29">
        <v>3039.6418889454499</v>
      </c>
      <c r="F5" s="29">
        <v>2410.0928098786999</v>
      </c>
      <c r="G5" s="29">
        <v>1733.8690523744201</v>
      </c>
      <c r="H5" s="29">
        <v>4395.74150985903</v>
      </c>
      <c r="I5" s="29">
        <v>22777.433982817602</v>
      </c>
      <c r="J5" s="29"/>
      <c r="K5" s="29">
        <v>29209.0934106735</v>
      </c>
      <c r="L5" s="29">
        <v>32081.871923012801</v>
      </c>
      <c r="M5" s="29">
        <v>38091.293647709703</v>
      </c>
      <c r="N5" s="29">
        <v>51635.841211405997</v>
      </c>
      <c r="O5" s="29">
        <v>93969.532498831803</v>
      </c>
      <c r="P5" s="29"/>
    </row>
    <row r="6" spans="1:16" x14ac:dyDescent="0.25">
      <c r="A6" t="s">
        <v>185</v>
      </c>
      <c r="B6" s="29">
        <v>6353.1536972977201</v>
      </c>
      <c r="C6" s="29">
        <v>6430.2427175491803</v>
      </c>
      <c r="D6" s="29">
        <v>4446.0421214473699</v>
      </c>
      <c r="E6" s="29">
        <v>3114.27230511896</v>
      </c>
      <c r="F6" s="29">
        <v>7767.0795097936498</v>
      </c>
      <c r="G6" s="29">
        <v>7827.6450446562003</v>
      </c>
      <c r="H6" s="29">
        <v>16942.6349337629</v>
      </c>
      <c r="I6" s="29">
        <v>68752.342173671306</v>
      </c>
      <c r="J6" s="29">
        <v>86176.621104124599</v>
      </c>
      <c r="K6" s="29"/>
      <c r="L6" s="29">
        <v>152017.714096882</v>
      </c>
      <c r="M6" s="29">
        <v>313478.46020881599</v>
      </c>
      <c r="N6" s="29">
        <v>325666.80067512102</v>
      </c>
      <c r="O6" s="29"/>
      <c r="P6" s="29"/>
    </row>
    <row r="7" spans="1:16" x14ac:dyDescent="0.25">
      <c r="A7" t="s">
        <v>186</v>
      </c>
      <c r="B7" s="29">
        <v>2063.17832203237</v>
      </c>
      <c r="C7" s="29">
        <v>2222.6346066328902</v>
      </c>
      <c r="D7" s="29">
        <v>1736.82304467993</v>
      </c>
      <c r="E7" s="29">
        <v>2652.66544559665</v>
      </c>
      <c r="F7" s="29">
        <v>5951.9038988591101</v>
      </c>
      <c r="G7" s="29">
        <v>6740.2462052660803</v>
      </c>
      <c r="H7" s="29">
        <v>11437.8125900577</v>
      </c>
      <c r="I7" s="29">
        <v>11721.061536430399</v>
      </c>
      <c r="J7" s="29">
        <v>21810.276177845899</v>
      </c>
      <c r="K7" s="29">
        <v>22736.726773574399</v>
      </c>
      <c r="L7" s="29">
        <v>25949.799749913102</v>
      </c>
      <c r="M7" s="29"/>
      <c r="N7" s="29"/>
      <c r="O7" s="29"/>
      <c r="P7" s="29"/>
    </row>
    <row r="8" spans="1:16" x14ac:dyDescent="0.25">
      <c r="A8" t="s">
        <v>187</v>
      </c>
      <c r="B8" s="29">
        <v>1626.41615520767</v>
      </c>
      <c r="C8" s="29">
        <v>1668.68212875314</v>
      </c>
      <c r="D8" s="29">
        <v>3385.78764741451</v>
      </c>
      <c r="E8" s="29">
        <v>6819.4196662245004</v>
      </c>
      <c r="F8" s="29">
        <v>8882.8794423061699</v>
      </c>
      <c r="G8" s="29">
        <v>13577.634196810501</v>
      </c>
      <c r="H8" s="29">
        <v>14195.1287963669</v>
      </c>
      <c r="I8" s="29">
        <v>19168.5228759567</v>
      </c>
      <c r="J8" s="29">
        <v>13816.518073441201</v>
      </c>
      <c r="K8" s="29">
        <v>8243.9834277286209</v>
      </c>
      <c r="L8" s="29">
        <v>7274.0807634763396</v>
      </c>
      <c r="M8" s="29">
        <v>6524.2953536085497</v>
      </c>
      <c r="N8" s="29">
        <v>8410.4433769585703</v>
      </c>
      <c r="O8" s="29">
        <v>14638.970765162299</v>
      </c>
      <c r="P8" s="29"/>
    </row>
    <row r="9" spans="1:16" x14ac:dyDescent="0.25">
      <c r="A9" t="s">
        <v>189</v>
      </c>
      <c r="B9" s="29">
        <v>3040.5034289032201</v>
      </c>
      <c r="C9" s="29">
        <v>5682.4069747207404</v>
      </c>
      <c r="D9" s="29">
        <v>6100.5379791747</v>
      </c>
      <c r="E9" s="29">
        <v>11297.118779182299</v>
      </c>
      <c r="F9" s="29">
        <v>12120.4806259654</v>
      </c>
      <c r="G9" s="29">
        <v>17146.3684395852</v>
      </c>
      <c r="H9" s="29">
        <v>12406.3891466511</v>
      </c>
      <c r="I9" s="29">
        <v>19783.024745953699</v>
      </c>
      <c r="J9" s="29">
        <v>34227.884350277003</v>
      </c>
      <c r="K9" s="29">
        <v>47871.983471891101</v>
      </c>
      <c r="L9" s="29">
        <v>56006.142941759601</v>
      </c>
      <c r="M9" s="29">
        <v>58097.455236576701</v>
      </c>
      <c r="N9" s="29">
        <v>75980.246948390006</v>
      </c>
      <c r="O9" s="29">
        <v>114142.236387165</v>
      </c>
      <c r="P9" s="29"/>
    </row>
    <row r="10" spans="1:16" x14ac:dyDescent="0.25">
      <c r="A10" t="s">
        <v>188</v>
      </c>
      <c r="B10" s="29">
        <v>380.73759224843201</v>
      </c>
      <c r="C10" s="29">
        <v>318.30284875118502</v>
      </c>
      <c r="D10" s="29">
        <v>2268.1916539293102</v>
      </c>
      <c r="E10" s="29">
        <v>2106.7754346526799</v>
      </c>
      <c r="F10" s="29">
        <v>841.21160498812901</v>
      </c>
      <c r="G10" s="29">
        <v>1752.64461048716</v>
      </c>
      <c r="H10" s="29">
        <v>3162.5414902521302</v>
      </c>
      <c r="I10" s="29">
        <v>2729.2768842835399</v>
      </c>
      <c r="J10" s="29">
        <v>3052.0546953756898</v>
      </c>
      <c r="K10" s="29">
        <v>2181.7182395035702</v>
      </c>
      <c r="L10" s="29">
        <v>3238.3964899236698</v>
      </c>
      <c r="M10" s="29">
        <v>13540.7049510163</v>
      </c>
      <c r="N10" s="29">
        <v>14726.7825454292</v>
      </c>
      <c r="O10" s="29">
        <v>31369.187713831299</v>
      </c>
      <c r="P10" s="29"/>
    </row>
    <row r="11" spans="1:16" x14ac:dyDescent="0.25">
      <c r="A11" t="s">
        <v>190</v>
      </c>
      <c r="B11" s="29">
        <v>200.31181873115801</v>
      </c>
      <c r="C11" s="29">
        <v>199.14276606633501</v>
      </c>
      <c r="D11" s="29">
        <v>198.806524671094</v>
      </c>
      <c r="E11" s="29">
        <v>189.556349825382</v>
      </c>
      <c r="F11" s="29">
        <v>176.24545493013599</v>
      </c>
      <c r="G11" s="29">
        <v>163.87302879368301</v>
      </c>
      <c r="H11" s="29">
        <v>6932.4895213846903</v>
      </c>
      <c r="I11" s="29">
        <v>5726.4915006975098</v>
      </c>
      <c r="J11" s="29"/>
      <c r="K11" s="29"/>
      <c r="L11" s="29"/>
      <c r="M11" s="29"/>
      <c r="N11" s="29"/>
      <c r="O11" s="29"/>
      <c r="P11" s="29"/>
    </row>
    <row r="12" spans="1:16" x14ac:dyDescent="0.25">
      <c r="A12" t="s">
        <v>191</v>
      </c>
      <c r="B12" s="29">
        <v>91.728315539672394</v>
      </c>
      <c r="C12" s="29">
        <v>206.31748853946601</v>
      </c>
      <c r="D12" s="29">
        <v>483.003054030187</v>
      </c>
      <c r="E12" s="29">
        <v>464.53606761015698</v>
      </c>
      <c r="F12" s="29">
        <v>588.13284692251796</v>
      </c>
      <c r="G12" s="29">
        <v>1845.2533301190299</v>
      </c>
      <c r="H12" s="29">
        <v>1602.6920846711</v>
      </c>
      <c r="I12" s="29">
        <v>1737.2491632239901</v>
      </c>
      <c r="J12" s="29">
        <v>3220.2811004770401</v>
      </c>
      <c r="K12" s="29">
        <v>9267.5764026269499</v>
      </c>
      <c r="L12" s="29">
        <v>11144.8657145775</v>
      </c>
      <c r="M12" s="29">
        <v>15472.879344282601</v>
      </c>
      <c r="N12" s="29">
        <v>16959.131349345</v>
      </c>
      <c r="O12" s="29">
        <v>24290.186189571599</v>
      </c>
      <c r="P12" s="29"/>
    </row>
    <row r="13" spans="1:16" x14ac:dyDescent="0.25">
      <c r="A13" t="s">
        <v>192</v>
      </c>
      <c r="B13" s="29">
        <v>107.568087237719</v>
      </c>
      <c r="C13" s="29">
        <v>139.45675334513399</v>
      </c>
      <c r="D13" s="29">
        <v>186.53827582809501</v>
      </c>
      <c r="E13" s="29">
        <v>5615.0239623955104</v>
      </c>
      <c r="F13" s="29">
        <v>8197.0672657106006</v>
      </c>
      <c r="G13" s="29">
        <v>10303.158132796299</v>
      </c>
      <c r="H13" s="29">
        <v>13673.7071955472</v>
      </c>
      <c r="I13" s="29">
        <v>13729.7808007656</v>
      </c>
      <c r="J13" s="29"/>
      <c r="K13" s="29"/>
      <c r="L13" s="29"/>
      <c r="M13" s="29">
        <v>2343.2262561330099</v>
      </c>
      <c r="N13" s="29"/>
      <c r="O13" s="29">
        <v>80069.628604124897</v>
      </c>
      <c r="P13" s="29"/>
    </row>
    <row r="14" spans="1:16" x14ac:dyDescent="0.25">
      <c r="A14" t="s">
        <v>193</v>
      </c>
      <c r="B14" s="29">
        <v>6587.85663186887</v>
      </c>
      <c r="C14" s="29">
        <v>12003.3969613401</v>
      </c>
      <c r="D14" s="29">
        <v>7747.7980777232597</v>
      </c>
      <c r="E14" s="29">
        <v>7594.8158166976</v>
      </c>
      <c r="F14" s="29">
        <v>6394.0748701604898</v>
      </c>
      <c r="G14" s="29">
        <v>2879.32831978082</v>
      </c>
      <c r="H14" s="29">
        <v>3682.7479322884901</v>
      </c>
      <c r="I14" s="29">
        <v>5367.3715958521698</v>
      </c>
      <c r="J14" s="29">
        <v>8061.9903474252496</v>
      </c>
      <c r="K14" s="29">
        <v>8629.5031549383402</v>
      </c>
      <c r="L14" s="29">
        <v>22265.383314187002</v>
      </c>
      <c r="M14" s="29">
        <v>30572.831770484601</v>
      </c>
      <c r="N14" s="29">
        <v>43531.3714917814</v>
      </c>
      <c r="O14" s="29">
        <v>88667.580898582703</v>
      </c>
      <c r="P14" s="29"/>
    </row>
    <row r="15" spans="1:16" x14ac:dyDescent="0.25">
      <c r="A15" t="s">
        <v>249</v>
      </c>
      <c r="B15" s="29">
        <v>222.82819174053799</v>
      </c>
      <c r="C15" s="29">
        <v>940.96422005665897</v>
      </c>
      <c r="D15" s="29">
        <v>650.06349049230096</v>
      </c>
      <c r="E15" s="29">
        <v>479.79847792209398</v>
      </c>
      <c r="F15" s="29">
        <v>340.12198968336901</v>
      </c>
      <c r="G15" s="29">
        <v>324.74388161807099</v>
      </c>
      <c r="H15" s="29">
        <v>412.75542013715898</v>
      </c>
      <c r="I15" s="29">
        <v>466.26219321466402</v>
      </c>
      <c r="J15" s="29">
        <v>427.12431722853802</v>
      </c>
      <c r="K15" s="29">
        <v>2148.9872649304798</v>
      </c>
      <c r="L15" s="29">
        <v>5575.7773184473899</v>
      </c>
      <c r="M15" s="29"/>
      <c r="N15" s="29"/>
      <c r="O15" s="29"/>
      <c r="P15" s="29"/>
    </row>
    <row r="16" spans="1:16" x14ac:dyDescent="0.25">
      <c r="A16" t="s">
        <v>194</v>
      </c>
      <c r="B16" s="29">
        <v>2396.8009015335301</v>
      </c>
      <c r="C16" s="29">
        <v>1435.4634034732301</v>
      </c>
      <c r="D16" s="29">
        <v>1181.01924878655</v>
      </c>
      <c r="E16" s="29">
        <v>964.76238455055397</v>
      </c>
      <c r="F16" s="29">
        <v>833.30946785520996</v>
      </c>
      <c r="G16" s="29">
        <v>1171.05696081366</v>
      </c>
      <c r="H16" s="29">
        <v>1366.24733088265</v>
      </c>
      <c r="I16" s="29">
        <v>1939.1535341988899</v>
      </c>
      <c r="J16" s="29"/>
      <c r="K16" s="29"/>
      <c r="L16" s="29">
        <v>3601.3910280131799</v>
      </c>
      <c r="M16" s="29">
        <v>3679.6360432958199</v>
      </c>
      <c r="N16" s="29">
        <v>4204.49244663835</v>
      </c>
      <c r="O16" s="29"/>
      <c r="P16" s="29"/>
    </row>
    <row r="17" spans="1:16" x14ac:dyDescent="0.25">
      <c r="A17" t="s">
        <v>195</v>
      </c>
      <c r="B17" s="29">
        <v>1669.85473477235</v>
      </c>
      <c r="C17" s="29">
        <v>1429.29322164836</v>
      </c>
      <c r="D17" s="29">
        <v>2593.0296728205699</v>
      </c>
      <c r="E17" s="29">
        <v>3252.70950701935</v>
      </c>
      <c r="F17" s="29">
        <v>3263.4718967276099</v>
      </c>
      <c r="G17" s="29">
        <v>10696.5121781015</v>
      </c>
      <c r="H17" s="29">
        <v>13865.701936211701</v>
      </c>
      <c r="I17" s="29">
        <v>8126.0889673423299</v>
      </c>
      <c r="J17" s="29"/>
      <c r="K17" s="29"/>
      <c r="L17" s="29"/>
      <c r="M17" s="29"/>
      <c r="N17" s="29"/>
      <c r="O17" s="29"/>
      <c r="P17" s="29"/>
    </row>
    <row r="18" spans="1:16" x14ac:dyDescent="0.25">
      <c r="A18" t="s">
        <v>196</v>
      </c>
      <c r="B18" s="29">
        <v>1303.7155240577899</v>
      </c>
      <c r="C18" s="29">
        <v>2526.3599646228499</v>
      </c>
      <c r="D18" s="29">
        <v>1990.9336296920101</v>
      </c>
      <c r="E18" s="29">
        <v>1755.5957734282599</v>
      </c>
      <c r="F18" s="29">
        <v>2076.9181351035199</v>
      </c>
      <c r="G18" s="29">
        <v>6149.0789012435998</v>
      </c>
      <c r="H18" s="29">
        <v>6561.8366341894298</v>
      </c>
      <c r="I18" s="29">
        <v>6114.8191578311498</v>
      </c>
      <c r="J18" s="29"/>
      <c r="K18" s="29"/>
      <c r="L18" s="29"/>
      <c r="M18" s="29"/>
      <c r="N18" s="29">
        <v>25880.489057491301</v>
      </c>
      <c r="O18" s="29">
        <v>51839.318750364902</v>
      </c>
      <c r="P18" s="29"/>
    </row>
    <row r="19" spans="1:16" x14ac:dyDescent="0.25">
      <c r="A19" t="s">
        <v>197</v>
      </c>
      <c r="B19" s="29">
        <v>4908.4083708287899</v>
      </c>
      <c r="C19" s="29">
        <v>6343.63157507287</v>
      </c>
      <c r="D19" s="29">
        <v>2339.6744869846102</v>
      </c>
      <c r="E19" s="29">
        <v>2650.0698410668701</v>
      </c>
      <c r="F19" s="29">
        <v>1798.12179166186</v>
      </c>
      <c r="G19" s="29">
        <v>1562.5071769404501</v>
      </c>
      <c r="H19" s="29">
        <v>2130.7618479049802</v>
      </c>
      <c r="I19" s="29">
        <v>1601.5926109731299</v>
      </c>
      <c r="J19" s="29"/>
      <c r="K19" s="29"/>
      <c r="L19" s="29"/>
      <c r="M19" s="29"/>
      <c r="N19" s="29">
        <v>21054.915379368998</v>
      </c>
      <c r="O19" s="29"/>
      <c r="P19" s="29"/>
    </row>
    <row r="20" spans="1:16" x14ac:dyDescent="0.25">
      <c r="A20" t="s">
        <v>198</v>
      </c>
      <c r="B20" s="29">
        <v>3466.2545804318002</v>
      </c>
      <c r="C20" s="29">
        <v>2416.1570134179301</v>
      </c>
      <c r="D20" s="29">
        <v>4512.0921361994897</v>
      </c>
      <c r="E20" s="29">
        <v>4753.4228471065899</v>
      </c>
      <c r="F20" s="29">
        <v>6505.5725470122998</v>
      </c>
      <c r="G20" s="29">
        <v>9524.2441607983492</v>
      </c>
      <c r="H20" s="29">
        <v>10899.238839710801</v>
      </c>
      <c r="I20" s="29">
        <v>11050.552260561801</v>
      </c>
      <c r="J20" s="29"/>
      <c r="K20" s="29"/>
      <c r="L20" s="29">
        <v>33392.641926380697</v>
      </c>
      <c r="M20" s="29">
        <v>33285.3872219353</v>
      </c>
      <c r="N20" s="29">
        <v>32436.017427360501</v>
      </c>
      <c r="O20" s="29">
        <v>31192.936657556402</v>
      </c>
      <c r="P20" s="29"/>
    </row>
    <row r="21" spans="1:16" x14ac:dyDescent="0.25">
      <c r="A21" t="s">
        <v>199</v>
      </c>
      <c r="B21" s="29">
        <v>953.45578639340704</v>
      </c>
      <c r="C21" s="29">
        <v>1437.5593400451201</v>
      </c>
      <c r="D21" s="29">
        <v>1855.7146838646099</v>
      </c>
      <c r="E21" s="29">
        <v>6315.0432478606899</v>
      </c>
      <c r="F21" s="29">
        <v>9637.5137584095592</v>
      </c>
      <c r="G21" s="29">
        <v>11493.750730236299</v>
      </c>
      <c r="H21" s="29">
        <v>11001.8255527172</v>
      </c>
      <c r="I21" s="29"/>
      <c r="J21" s="29">
        <v>33868.5618485058</v>
      </c>
      <c r="K21" s="29"/>
      <c r="L21" s="29"/>
      <c r="M21" s="29"/>
      <c r="N21" s="29"/>
      <c r="O21" s="29"/>
      <c r="P21" s="29"/>
    </row>
    <row r="22" spans="1:16" x14ac:dyDescent="0.25">
      <c r="A22" t="s">
        <v>200</v>
      </c>
      <c r="B22" s="29">
        <v>85.553978695076495</v>
      </c>
      <c r="C22" s="29">
        <v>337.22821704989099</v>
      </c>
      <c r="D22" s="29">
        <v>4037.99461382968</v>
      </c>
      <c r="E22" s="29">
        <v>7127.6792652414297</v>
      </c>
      <c r="F22" s="29">
        <v>6325.1908469616001</v>
      </c>
      <c r="G22" s="29">
        <v>9592.2852414908302</v>
      </c>
      <c r="H22" s="29">
        <v>11438.112386099099</v>
      </c>
      <c r="I22" s="29">
        <v>18095.898076680402</v>
      </c>
      <c r="J22" s="29"/>
      <c r="K22" s="29">
        <v>59608.546985719397</v>
      </c>
      <c r="L22" s="29">
        <v>38087.321610742198</v>
      </c>
      <c r="M22" s="29">
        <v>42546.209026949502</v>
      </c>
      <c r="N22" s="29">
        <v>43927.385705036701</v>
      </c>
      <c r="O22" s="29">
        <v>86034.688572629995</v>
      </c>
      <c r="P22" s="29"/>
    </row>
    <row r="23" spans="1:16" x14ac:dyDescent="0.25">
      <c r="A23" t="s">
        <v>201</v>
      </c>
      <c r="B23" s="29">
        <v>1442.8507036205699</v>
      </c>
      <c r="C23" s="29">
        <v>1079.12217633607</v>
      </c>
      <c r="D23" s="29">
        <v>738.40189703599299</v>
      </c>
      <c r="E23" s="29">
        <v>929.24571249155497</v>
      </c>
      <c r="F23" s="29">
        <v>1089.5217295957</v>
      </c>
      <c r="G23" s="29">
        <v>1847.45484090624</v>
      </c>
      <c r="H23" s="29">
        <v>2655.59422135869</v>
      </c>
      <c r="I23" s="29">
        <v>5209.5786078983001</v>
      </c>
      <c r="J23" s="29"/>
      <c r="K23" s="29">
        <v>14241.719221367401</v>
      </c>
      <c r="L23" s="29"/>
      <c r="M23" s="29"/>
      <c r="N23" s="29"/>
      <c r="O23" s="29"/>
      <c r="P23" s="29"/>
    </row>
    <row r="24" spans="1:16" x14ac:dyDescent="0.25">
      <c r="A24" t="s">
        <v>202</v>
      </c>
      <c r="B24" s="29">
        <v>2605.8291381547201</v>
      </c>
      <c r="C24" s="29">
        <v>3607.3532616572902</v>
      </c>
      <c r="D24" s="29">
        <v>3243.2305921300999</v>
      </c>
      <c r="E24" s="29">
        <v>2948.1601417003699</v>
      </c>
      <c r="F24" s="29">
        <v>2681.4173267554902</v>
      </c>
      <c r="G24" s="29">
        <v>11929.4645266223</v>
      </c>
      <c r="H24" s="29">
        <v>7515.7860977846303</v>
      </c>
      <c r="I24" s="29">
        <v>9438.2187876736807</v>
      </c>
      <c r="J24" s="29">
        <v>7621.4365906946896</v>
      </c>
      <c r="K24" s="29">
        <v>16322.5838814162</v>
      </c>
      <c r="L24" s="29">
        <v>13975.7107797479</v>
      </c>
      <c r="M24" s="29">
        <v>23992.332708903301</v>
      </c>
      <c r="N24" s="29">
        <v>32537.633162714101</v>
      </c>
      <c r="O24" s="29">
        <v>26319.3429516053</v>
      </c>
      <c r="P24" s="29"/>
    </row>
    <row r="25" spans="1:16" x14ac:dyDescent="0.25">
      <c r="A25" t="s">
        <v>203</v>
      </c>
      <c r="B25" s="29">
        <v>6747.5481386974998</v>
      </c>
      <c r="C25" s="29">
        <v>14068.9858275812</v>
      </c>
      <c r="D25" s="29">
        <v>71315.454728661702</v>
      </c>
      <c r="E25" s="29">
        <v>62482.101263218101</v>
      </c>
      <c r="F25" s="29">
        <v>65555.282343291605</v>
      </c>
      <c r="G25" s="29">
        <v>109403.852028401</v>
      </c>
      <c r="H25" s="29">
        <v>107689.90486483699</v>
      </c>
      <c r="I25" s="29">
        <v>394787.77316312701</v>
      </c>
      <c r="J25" s="29">
        <v>421828.21565429698</v>
      </c>
      <c r="K25" s="29">
        <v>578914.39898279798</v>
      </c>
      <c r="L25" s="29"/>
      <c r="M25" s="29"/>
      <c r="N25" s="29"/>
      <c r="O25" s="29">
        <v>513116.21931461297</v>
      </c>
      <c r="P25" s="29"/>
    </row>
    <row r="26" spans="1:16" x14ac:dyDescent="0.25">
      <c r="A26" t="s">
        <v>204</v>
      </c>
      <c r="B26" s="29">
        <v>337.42005866681001</v>
      </c>
      <c r="C26" s="29">
        <v>1063.9759518736701</v>
      </c>
      <c r="D26" s="29">
        <v>933.95741350817002</v>
      </c>
      <c r="E26" s="29">
        <v>884.99706297677994</v>
      </c>
      <c r="F26" s="29">
        <v>2178.6655195129501</v>
      </c>
      <c r="G26" s="29">
        <v>3335.5332648171102</v>
      </c>
      <c r="H26" s="29">
        <v>3800.9609266017601</v>
      </c>
      <c r="I26" s="29">
        <v>4326.77672132313</v>
      </c>
      <c r="J26" s="29">
        <v>4085.71000655842</v>
      </c>
      <c r="K26" s="29">
        <v>5820.5684593825099</v>
      </c>
      <c r="L26" s="29">
        <v>8830.3819889494298</v>
      </c>
      <c r="M26" s="29">
        <v>9280.8907561852793</v>
      </c>
      <c r="N26" s="29">
        <v>8896.0403148572095</v>
      </c>
      <c r="O26" s="29">
        <v>8525.2039241447401</v>
      </c>
      <c r="P26" s="29"/>
    </row>
    <row r="27" spans="1:16" x14ac:dyDescent="0.25">
      <c r="A27" t="s">
        <v>205</v>
      </c>
      <c r="B27" s="29">
        <v>589.15229233265404</v>
      </c>
      <c r="C27" s="29">
        <v>720.17811141818697</v>
      </c>
      <c r="D27" s="29">
        <v>2805.65061199507</v>
      </c>
      <c r="E27" s="29">
        <v>4823.5675989583597</v>
      </c>
      <c r="F27" s="29">
        <v>3523.2906539439</v>
      </c>
      <c r="G27" s="29">
        <v>2146.1848023932498</v>
      </c>
      <c r="H27" s="29">
        <v>1490.6972934948201</v>
      </c>
      <c r="I27" s="29">
        <v>1417.04927260615</v>
      </c>
      <c r="J27" s="29"/>
      <c r="K27" s="29"/>
      <c r="L27" s="29"/>
      <c r="M27" s="29"/>
      <c r="N27" s="29"/>
      <c r="O27" s="29"/>
      <c r="P27" s="29"/>
    </row>
    <row r="28" spans="1:16" x14ac:dyDescent="0.25">
      <c r="A28" t="s">
        <v>206</v>
      </c>
      <c r="B28" s="29">
        <v>692.09330860323996</v>
      </c>
      <c r="C28" s="29">
        <v>516.576930642859</v>
      </c>
      <c r="D28" s="29">
        <v>418.80076386442602</v>
      </c>
      <c r="E28" s="29">
        <v>312.46599685570698</v>
      </c>
      <c r="F28" s="29">
        <v>7639.57884896421</v>
      </c>
      <c r="G28" s="29">
        <v>11838.2727951126</v>
      </c>
      <c r="H28" s="29">
        <v>13610.902493621699</v>
      </c>
      <c r="I28" s="29">
        <v>8169.9384527803604</v>
      </c>
      <c r="J28" s="29">
        <v>6959.7400763230798</v>
      </c>
      <c r="K28" s="29">
        <v>12587.482413895799</v>
      </c>
      <c r="L28" s="29">
        <v>18297.920138012701</v>
      </c>
      <c r="M28" s="29">
        <v>15898.0738876746</v>
      </c>
      <c r="N28" s="29">
        <v>15005.792684677999</v>
      </c>
      <c r="O28" s="29">
        <v>16984.906881233299</v>
      </c>
      <c r="P28" s="29"/>
    </row>
    <row r="29" spans="1:16" x14ac:dyDescent="0.25">
      <c r="A29" t="s">
        <v>207</v>
      </c>
      <c r="B29" s="29">
        <v>2059.2216398022501</v>
      </c>
      <c r="C29" s="29">
        <v>3816.45426113754</v>
      </c>
      <c r="D29" s="29">
        <v>2838.4946705263401</v>
      </c>
      <c r="E29" s="29">
        <v>2572.98798698374</v>
      </c>
      <c r="F29" s="29">
        <v>2606.7152017127401</v>
      </c>
      <c r="G29" s="29">
        <v>2560.6378054204401</v>
      </c>
      <c r="H29" s="29">
        <v>7286.6163426001503</v>
      </c>
      <c r="I29" s="29">
        <v>7364.7029821226597</v>
      </c>
      <c r="J29" s="29">
        <v>5897.5989213060202</v>
      </c>
      <c r="K29" s="29">
        <v>4569.4448529784204</v>
      </c>
      <c r="L29" s="29">
        <v>9765.2465939917001</v>
      </c>
      <c r="M29" s="29">
        <v>10757.647348008901</v>
      </c>
      <c r="N29" s="29">
        <v>21707.426866399601</v>
      </c>
      <c r="O29" s="29">
        <v>29741.3211017104</v>
      </c>
      <c r="P29" s="29"/>
    </row>
    <row r="30" spans="1:16" x14ac:dyDescent="0.25">
      <c r="A30" t="s">
        <v>208</v>
      </c>
      <c r="B30" s="29">
        <v>2430.1987344403001</v>
      </c>
      <c r="C30" s="29">
        <v>4277.997196714</v>
      </c>
      <c r="D30" s="29">
        <v>3591.0089425937399</v>
      </c>
      <c r="E30" s="29">
        <v>3393.9547267876701</v>
      </c>
      <c r="F30" s="29">
        <v>2219.7229375125198</v>
      </c>
      <c r="G30" s="29">
        <v>1614.0292063393699</v>
      </c>
      <c r="H30" s="29">
        <v>3498.6111221011301</v>
      </c>
      <c r="I30" s="29">
        <v>4000.3641677309602</v>
      </c>
      <c r="J30" s="29">
        <v>4043.8034481834302</v>
      </c>
      <c r="K30" s="29">
        <v>6436.9004890163296</v>
      </c>
      <c r="L30" s="29">
        <v>14942.866529930299</v>
      </c>
      <c r="M30" s="29">
        <v>20722.407515644802</v>
      </c>
      <c r="N30" s="29"/>
      <c r="O30" s="29"/>
      <c r="P30" s="29"/>
    </row>
    <row r="31" spans="1:16" x14ac:dyDescent="0.25">
      <c r="A31" t="s">
        <v>209</v>
      </c>
      <c r="B31" s="29">
        <v>9328.7828029823104</v>
      </c>
      <c r="C31" s="29">
        <v>12915.1282668489</v>
      </c>
      <c r="D31" s="29">
        <v>18119.940577632398</v>
      </c>
      <c r="E31" s="29">
        <v>23017.877409755602</v>
      </c>
      <c r="F31" s="29">
        <v>29501.059912049801</v>
      </c>
      <c r="G31" s="29">
        <v>32881.2386626921</v>
      </c>
      <c r="H31" s="29">
        <v>63036.822111739399</v>
      </c>
      <c r="I31" s="29">
        <v>60216.9293716885</v>
      </c>
      <c r="J31" s="29">
        <v>86038.688236092494</v>
      </c>
      <c r="K31" s="29">
        <v>128029.245787817</v>
      </c>
      <c r="L31" s="29">
        <v>166795.86374767299</v>
      </c>
      <c r="M31" s="29">
        <v>230637.06390093901</v>
      </c>
      <c r="N31" s="29">
        <v>244615.822372308</v>
      </c>
      <c r="O31" s="29">
        <v>270266.99767228198</v>
      </c>
      <c r="P31" s="29"/>
    </row>
    <row r="32" spans="1:16" x14ac:dyDescent="0.25">
      <c r="A32" t="s">
        <v>210</v>
      </c>
      <c r="B32" s="29">
        <v>1334.62889722567</v>
      </c>
      <c r="C32" s="29">
        <v>1176.6265409990499</v>
      </c>
      <c r="D32" s="29">
        <v>3204.8850995277098</v>
      </c>
      <c r="E32" s="29">
        <v>4644.9562211243201</v>
      </c>
      <c r="F32" s="29">
        <v>9306.4828377792801</v>
      </c>
      <c r="G32" s="29">
        <v>4042.0906404432098</v>
      </c>
      <c r="H32" s="29">
        <v>3110.8947762704602</v>
      </c>
      <c r="I32" s="29">
        <v>21455.9206303787</v>
      </c>
      <c r="J32" s="29"/>
      <c r="K32" s="29">
        <v>21049.968511868901</v>
      </c>
      <c r="L32" s="29">
        <v>17848.881114041102</v>
      </c>
      <c r="M32" s="29">
        <v>15135.664074021601</v>
      </c>
      <c r="N32" s="29">
        <v>12792.7277938228</v>
      </c>
      <c r="O32" s="29"/>
      <c r="P32" s="29"/>
    </row>
    <row r="33" spans="1:16" x14ac:dyDescent="0.25">
      <c r="A33" t="s">
        <v>211</v>
      </c>
      <c r="B33" s="29">
        <v>1756.98038910791</v>
      </c>
      <c r="C33" s="29">
        <v>2174.2591017980299</v>
      </c>
      <c r="D33" s="29">
        <v>4506.7414958734998</v>
      </c>
      <c r="E33" s="29">
        <v>6138.6410745251096</v>
      </c>
      <c r="F33" s="29">
        <v>7982.5967709397601</v>
      </c>
      <c r="G33" s="29">
        <v>6586.2536442023702</v>
      </c>
      <c r="H33" s="29">
        <v>6495.6389849137904</v>
      </c>
      <c r="I33" s="29">
        <v>12929.639391754101</v>
      </c>
      <c r="J33" s="29">
        <v>16417.429418987002</v>
      </c>
      <c r="K33" s="29"/>
      <c r="L33" s="29"/>
      <c r="M33" s="29"/>
      <c r="N33" s="29">
        <v>122242.06405448999</v>
      </c>
      <c r="O33" s="29">
        <v>114120.860110843</v>
      </c>
      <c r="P33" s="29"/>
    </row>
    <row r="34" spans="1:16" x14ac:dyDescent="0.25">
      <c r="A34" t="s">
        <v>212</v>
      </c>
      <c r="B34" s="29">
        <v>1383.2735817995799</v>
      </c>
      <c r="C34" s="29">
        <v>3033.8991917582598</v>
      </c>
      <c r="D34" s="29">
        <v>4511.8143580931301</v>
      </c>
      <c r="E34" s="29">
        <v>3991.0070497289398</v>
      </c>
      <c r="F34" s="29">
        <v>8831.2131491651999</v>
      </c>
      <c r="G34" s="29">
        <v>6811.1967319628802</v>
      </c>
      <c r="H34" s="29">
        <v>5852.1907566508098</v>
      </c>
      <c r="I34" s="29">
        <v>3376.0310182827402</v>
      </c>
      <c r="J34" s="29"/>
      <c r="K34" s="29"/>
      <c r="L34" s="29"/>
      <c r="M34" s="29"/>
      <c r="N34" s="29"/>
      <c r="O34" s="29"/>
      <c r="P34" s="29"/>
    </row>
    <row r="35" spans="1:16" x14ac:dyDescent="0.25">
      <c r="A35" t="s">
        <v>213</v>
      </c>
      <c r="B35" s="29">
        <v>4696.3222639589503</v>
      </c>
      <c r="C35" s="29">
        <v>5073.9132752038804</v>
      </c>
      <c r="D35" s="29">
        <v>5287.5920197986798</v>
      </c>
      <c r="E35" s="29">
        <v>983.21468574851394</v>
      </c>
      <c r="F35" s="29">
        <v>1203.9442602343599</v>
      </c>
      <c r="G35" s="29">
        <v>1142.1599244843901</v>
      </c>
      <c r="H35" s="29">
        <v>3248.2744226814798</v>
      </c>
      <c r="I35" s="29">
        <v>3484.86914679241</v>
      </c>
      <c r="J35" s="29">
        <v>5807.0003518010599</v>
      </c>
      <c r="K35" s="29">
        <v>6353.57706919476</v>
      </c>
      <c r="L35" s="29">
        <v>9274.8113853939794</v>
      </c>
      <c r="M35" s="29">
        <v>10003.9458169471</v>
      </c>
      <c r="N35" s="29">
        <v>9749.6677522169302</v>
      </c>
      <c r="O35" s="29">
        <v>12387.718799907299</v>
      </c>
      <c r="P35" s="29"/>
    </row>
    <row r="36" spans="1:16" x14ac:dyDescent="0.25">
      <c r="A36" t="s">
        <v>214</v>
      </c>
      <c r="B36" s="29">
        <v>1990.53981113545</v>
      </c>
      <c r="C36" s="29">
        <v>4567.9231733958104</v>
      </c>
      <c r="D36" s="29">
        <v>6966.82493017667</v>
      </c>
      <c r="E36" s="29">
        <v>10010.010010010001</v>
      </c>
      <c r="F36" s="29">
        <v>9524.6456232075998</v>
      </c>
      <c r="G36" s="29">
        <v>8703.7636183161794</v>
      </c>
      <c r="H36" s="29">
        <v>10932.072262252699</v>
      </c>
      <c r="I36" s="29">
        <v>10996.9994010542</v>
      </c>
      <c r="J36" s="29">
        <v>10451.7036467127</v>
      </c>
      <c r="K36" s="29">
        <v>13583.2850014083</v>
      </c>
      <c r="L36" s="29">
        <v>17110.501624203898</v>
      </c>
      <c r="M36" s="29">
        <v>20491.250527104399</v>
      </c>
      <c r="N36" s="29">
        <v>22171.010326203599</v>
      </c>
      <c r="O36" s="29">
        <v>31588.889535046099</v>
      </c>
      <c r="P36" s="29"/>
    </row>
    <row r="37" spans="1:16" x14ac:dyDescent="0.25">
      <c r="A37" t="s">
        <v>215</v>
      </c>
      <c r="B37" s="29">
        <v>1173.4377692948001</v>
      </c>
      <c r="C37" s="29">
        <v>1335.8602041755</v>
      </c>
      <c r="D37" s="29">
        <v>5016.3289047471799</v>
      </c>
      <c r="E37" s="29">
        <v>6978.2036933155996</v>
      </c>
      <c r="F37" s="29">
        <v>14573.9742003639</v>
      </c>
      <c r="G37" s="29">
        <v>20883.6344513002</v>
      </c>
      <c r="H37" s="29">
        <v>38048.200933776498</v>
      </c>
      <c r="I37" s="29">
        <v>37571.018116789397</v>
      </c>
      <c r="J37" s="29">
        <v>37184.932815465298</v>
      </c>
      <c r="K37" s="29">
        <v>24510.048675666101</v>
      </c>
      <c r="L37" s="29">
        <v>52213.252843429</v>
      </c>
      <c r="M37" s="29">
        <v>10674.248779998399</v>
      </c>
      <c r="N37" s="29">
        <v>8680.4203287686505</v>
      </c>
      <c r="O37" s="29">
        <v>13921.6979476666</v>
      </c>
      <c r="P37" s="29"/>
    </row>
    <row r="38" spans="1:16" x14ac:dyDescent="0.25">
      <c r="A38" t="s">
        <v>216</v>
      </c>
      <c r="B38" s="29">
        <v>5342.1285081856804</v>
      </c>
      <c r="C38" s="29">
        <v>7244.2547402304499</v>
      </c>
      <c r="D38" s="29">
        <v>9391.0857560143304</v>
      </c>
      <c r="E38" s="29">
        <v>11970.2388527932</v>
      </c>
      <c r="F38" s="29">
        <v>9581.1364516015401</v>
      </c>
      <c r="G38" s="29">
        <v>8052.4124846703698</v>
      </c>
      <c r="H38" s="29">
        <v>7204.7324275488199</v>
      </c>
      <c r="I38" s="29">
        <v>6779.6255751925901</v>
      </c>
      <c r="J38" s="29"/>
      <c r="K38" s="29"/>
      <c r="L38" s="29"/>
      <c r="M38" s="29"/>
      <c r="N38" s="29"/>
      <c r="O38" s="29"/>
      <c r="P38" s="29"/>
    </row>
    <row r="39" spans="1:16" x14ac:dyDescent="0.25">
      <c r="A39" t="s">
        <v>217</v>
      </c>
      <c r="B39" s="29">
        <v>4763.9703108343001</v>
      </c>
      <c r="C39" s="29">
        <v>5253.1738874762304</v>
      </c>
      <c r="D39" s="29">
        <v>14476.899510634399</v>
      </c>
      <c r="E39" s="29">
        <v>21580.075060725099</v>
      </c>
      <c r="F39" s="29">
        <v>27319.1160004757</v>
      </c>
      <c r="G39" s="29">
        <v>35957.492844488501</v>
      </c>
      <c r="H39" s="29">
        <v>44968.971352752</v>
      </c>
      <c r="I39" s="29">
        <v>53964.729573475997</v>
      </c>
      <c r="J39" s="29">
        <v>52972.276041708501</v>
      </c>
      <c r="K39" s="29">
        <v>60597.049042442297</v>
      </c>
      <c r="L39" s="29">
        <v>62900.8809011509</v>
      </c>
      <c r="M39" s="29">
        <v>76693.371098642805</v>
      </c>
      <c r="N39" s="29">
        <v>110015.34806964399</v>
      </c>
      <c r="O39" s="29">
        <v>422828.29839912598</v>
      </c>
      <c r="P39" s="29"/>
    </row>
    <row r="40" spans="1:16" x14ac:dyDescent="0.25">
      <c r="A40" t="s">
        <v>218</v>
      </c>
      <c r="B40" s="29">
        <v>4710.2188574930797</v>
      </c>
      <c r="C40" s="29">
        <v>2696.34342258073</v>
      </c>
      <c r="D40" s="29">
        <v>946.40883640560003</v>
      </c>
      <c r="E40" s="29"/>
      <c r="F40" s="29"/>
      <c r="G40" s="29"/>
      <c r="H40" s="29"/>
      <c r="I40" s="29">
        <v>12722.2493752026</v>
      </c>
      <c r="J40" s="29">
        <v>13160.622949745401</v>
      </c>
      <c r="K40" s="29">
        <v>21647.216792651601</v>
      </c>
      <c r="L40" s="29">
        <v>29121.683028925701</v>
      </c>
      <c r="M40" s="29">
        <v>29001.3984016014</v>
      </c>
      <c r="N40" s="29"/>
      <c r="O40" s="29"/>
      <c r="P40" s="29"/>
    </row>
    <row r="41" spans="1:16" x14ac:dyDescent="0.25">
      <c r="A41" t="s">
        <v>219</v>
      </c>
      <c r="B41" s="29">
        <v>199003.830763245</v>
      </c>
      <c r="C41" s="29">
        <v>155534.20296905399</v>
      </c>
      <c r="D41" s="29">
        <v>145119.10613676201</v>
      </c>
      <c r="E41" s="29">
        <v>137656.33041209899</v>
      </c>
      <c r="F41" s="29">
        <v>15417.669840909601</v>
      </c>
      <c r="G41" s="29">
        <v>14940.395216680299</v>
      </c>
      <c r="H41" s="29">
        <v>12210.772196473101</v>
      </c>
      <c r="I41" s="29">
        <v>18855.702993330098</v>
      </c>
      <c r="J41" s="29">
        <v>23638.428456670099</v>
      </c>
      <c r="K41" s="29">
        <v>28381.281812980302</v>
      </c>
      <c r="L41" s="29">
        <v>26011.745517941799</v>
      </c>
      <c r="M41" s="29">
        <v>20545.840362283401</v>
      </c>
      <c r="N41" s="29">
        <v>27869.100543710501</v>
      </c>
      <c r="O41" s="29">
        <v>41092.610342632201</v>
      </c>
      <c r="P41" s="29"/>
    </row>
    <row r="42" spans="1:16" x14ac:dyDescent="0.25">
      <c r="A42" t="s">
        <v>220</v>
      </c>
      <c r="B42" s="29"/>
      <c r="C42" s="29"/>
      <c r="D42" s="29"/>
      <c r="E42" s="29">
        <v>203.53495438069299</v>
      </c>
      <c r="F42" s="29">
        <v>136.93382663926999</v>
      </c>
      <c r="G42" s="29">
        <v>943.501458150894</v>
      </c>
      <c r="H42" s="29">
        <v>928.62863684412696</v>
      </c>
      <c r="I42" s="29">
        <v>903.41685902432403</v>
      </c>
      <c r="J42" s="29">
        <v>823.20974682974497</v>
      </c>
      <c r="K42" s="29">
        <v>1145.5299456935199</v>
      </c>
      <c r="L42" s="29"/>
      <c r="M42" s="29">
        <v>1931.41050667025</v>
      </c>
      <c r="N42" s="29">
        <v>498.37464576205701</v>
      </c>
      <c r="O42" s="29">
        <v>503.60142754751502</v>
      </c>
      <c r="P42" s="29"/>
    </row>
    <row r="43" spans="1:16" x14ac:dyDescent="0.25">
      <c r="A43" t="s">
        <v>221</v>
      </c>
      <c r="B43" s="29">
        <v>2664.8769294656599</v>
      </c>
      <c r="C43" s="29">
        <v>3394.5719913984499</v>
      </c>
      <c r="D43" s="29">
        <v>4007.9447725731002</v>
      </c>
      <c r="E43" s="29">
        <v>4654.9265001256599</v>
      </c>
      <c r="F43" s="29">
        <v>2837.1966835304302</v>
      </c>
      <c r="G43" s="29">
        <v>2210.64731559559</v>
      </c>
      <c r="H43" s="29">
        <v>1677.0951896372301</v>
      </c>
      <c r="I43" s="29">
        <v>1577.7772583244</v>
      </c>
      <c r="J43" s="29"/>
      <c r="K43" s="29"/>
      <c r="L43" s="29">
        <v>7902.6490346700302</v>
      </c>
      <c r="M43" s="29">
        <v>9317.7206816997095</v>
      </c>
      <c r="N43" s="29">
        <v>32379.359015038299</v>
      </c>
      <c r="O43" s="29">
        <v>29840.990120986</v>
      </c>
      <c r="P43" s="29"/>
    </row>
    <row r="44" spans="1:16" x14ac:dyDescent="0.25">
      <c r="A44" t="s">
        <v>222</v>
      </c>
      <c r="B44" s="29">
        <v>6872.0457753504497</v>
      </c>
      <c r="C44" s="29">
        <v>5733.7225379785796</v>
      </c>
      <c r="D44" s="29">
        <v>5668.42648424051</v>
      </c>
      <c r="E44" s="29">
        <v>6100.4458541354697</v>
      </c>
      <c r="F44" s="29">
        <v>8226.7106786296808</v>
      </c>
      <c r="G44" s="29">
        <v>6839.9316912956901</v>
      </c>
      <c r="H44" s="29">
        <v>4199.0498797010496</v>
      </c>
      <c r="I44" s="29">
        <v>15949.7027254697</v>
      </c>
      <c r="J44" s="29">
        <v>13611.3240028738</v>
      </c>
      <c r="K44" s="29">
        <v>20829.2502906068</v>
      </c>
      <c r="L44" s="29">
        <v>14520.6776643174</v>
      </c>
      <c r="M44" s="29">
        <v>30476.391056422599</v>
      </c>
      <c r="N44" s="29">
        <v>25432.078528720602</v>
      </c>
      <c r="O44" s="29">
        <v>28528.0911853047</v>
      </c>
      <c r="P44" s="29"/>
    </row>
    <row r="45" spans="1:16" x14ac:dyDescent="0.25">
      <c r="A45" t="s">
        <v>223</v>
      </c>
      <c r="B45" s="29">
        <v>2590.45690638305</v>
      </c>
      <c r="C45" s="29">
        <v>12309.802178580499</v>
      </c>
      <c r="D45" s="29">
        <v>15126.1588493197</v>
      </c>
      <c r="E45" s="29">
        <v>14535.100334102401</v>
      </c>
      <c r="F45" s="29">
        <v>14007.1093959151</v>
      </c>
      <c r="G45" s="29">
        <v>16421.631775309099</v>
      </c>
      <c r="H45" s="29">
        <v>21835.179301804499</v>
      </c>
      <c r="I45" s="29">
        <v>25521.952930474399</v>
      </c>
      <c r="J45" s="29"/>
      <c r="K45" s="29"/>
      <c r="L45" s="29">
        <v>479199.03470929299</v>
      </c>
      <c r="M45" s="29">
        <v>344422.77688559098</v>
      </c>
      <c r="N45" s="29">
        <v>397299.85957267199</v>
      </c>
      <c r="O45" s="29">
        <v>383175.93858717498</v>
      </c>
      <c r="P45" s="29"/>
    </row>
    <row r="46" spans="1:16" x14ac:dyDescent="0.25">
      <c r="A46" t="s">
        <v>224</v>
      </c>
      <c r="B46" s="29">
        <v>1193.4090785301801</v>
      </c>
      <c r="C46" s="29">
        <v>5792.3364084498398</v>
      </c>
      <c r="D46" s="29">
        <v>8435.5644121749701</v>
      </c>
      <c r="E46" s="29">
        <v>12665.8682163953</v>
      </c>
      <c r="F46" s="29">
        <v>9485.1363920268795</v>
      </c>
      <c r="G46" s="29">
        <v>7196.9075399692802</v>
      </c>
      <c r="H46" s="29">
        <v>9213.1402564728705</v>
      </c>
      <c r="I46" s="29">
        <v>12122.1461167043</v>
      </c>
      <c r="J46" s="29">
        <v>14235.747215576601</v>
      </c>
      <c r="K46" s="29">
        <v>15043.234490176499</v>
      </c>
      <c r="L46" s="29">
        <v>24458.9171411239</v>
      </c>
      <c r="M46" s="29">
        <v>18145.256108654499</v>
      </c>
      <c r="N46" s="29">
        <v>33151.635825926503</v>
      </c>
      <c r="O46" s="29">
        <v>38397.678695373797</v>
      </c>
      <c r="P46" s="29"/>
    </row>
    <row r="47" spans="1:16" x14ac:dyDescent="0.25">
      <c r="A47" t="s">
        <v>225</v>
      </c>
      <c r="B47" s="29">
        <v>507.70977650812199</v>
      </c>
      <c r="C47" s="29">
        <v>3064.75669068259</v>
      </c>
      <c r="D47" s="29">
        <v>3739.11486370287</v>
      </c>
      <c r="E47" s="29">
        <v>4171.00140827003</v>
      </c>
      <c r="F47" s="29">
        <v>4919.1453808206898</v>
      </c>
      <c r="G47" s="29">
        <v>4795.79862743999</v>
      </c>
      <c r="H47" s="29">
        <v>9670.9123679689492</v>
      </c>
      <c r="I47" s="29">
        <v>13188.921055749101</v>
      </c>
      <c r="J47" s="29">
        <v>22530.385543816301</v>
      </c>
      <c r="K47" s="29">
        <v>28796.96493831</v>
      </c>
      <c r="L47" s="29">
        <v>35097.723678863898</v>
      </c>
      <c r="M47" s="29">
        <v>33302.063896582302</v>
      </c>
      <c r="N47" s="29">
        <v>44734.392871540796</v>
      </c>
      <c r="O47" s="29">
        <v>58517.978271015498</v>
      </c>
      <c r="P47" s="29"/>
    </row>
    <row r="48" spans="1:16" x14ac:dyDescent="0.25">
      <c r="B48" s="29"/>
      <c r="C48" s="29"/>
      <c r="D48" s="29"/>
      <c r="E48" s="29"/>
      <c r="F48" s="29"/>
      <c r="G48" s="29"/>
      <c r="H48" s="29"/>
      <c r="I48" s="29"/>
      <c r="J48" s="29"/>
      <c r="K48" s="29"/>
      <c r="L48" s="29"/>
      <c r="M48" s="29"/>
      <c r="N48" s="29"/>
      <c r="O48" s="29"/>
      <c r="P48" s="29"/>
    </row>
    <row r="49" spans="1:16" x14ac:dyDescent="0.25">
      <c r="A49" t="s">
        <v>23</v>
      </c>
      <c r="B49" s="29"/>
      <c r="C49" s="29"/>
      <c r="D49" s="29"/>
      <c r="E49" s="29"/>
      <c r="F49" s="29"/>
      <c r="G49" s="29"/>
      <c r="H49" s="29"/>
      <c r="I49" s="29"/>
      <c r="J49" s="29"/>
      <c r="K49" s="29"/>
      <c r="L49" s="29"/>
      <c r="M49" s="29"/>
      <c r="N49" s="29"/>
      <c r="O49" s="29"/>
      <c r="P49" s="29"/>
    </row>
  </sheetData>
  <hyperlinks>
    <hyperlink ref="O1" location="Contents!A1" display="Return to Contents" xr:uid="{9A80181A-1ED5-45E4-93D8-87BBB0C52F1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0FBA-83DC-4A9B-B49F-11DF845E47B3}">
  <sheetPr codeName="Sheet13"/>
  <dimension ref="A1:H95"/>
  <sheetViews>
    <sheetView workbookViewId="0"/>
  </sheetViews>
  <sheetFormatPr defaultRowHeight="15" x14ac:dyDescent="0.25"/>
  <cols>
    <col min="1" max="1" width="25" customWidth="1"/>
  </cols>
  <sheetData>
    <row r="1" spans="1:8" x14ac:dyDescent="0.25">
      <c r="A1" s="1" t="s">
        <v>56</v>
      </c>
      <c r="H1" s="34" t="s">
        <v>17</v>
      </c>
    </row>
    <row r="2" spans="1:8" x14ac:dyDescent="0.25">
      <c r="B2" s="6">
        <v>2018</v>
      </c>
      <c r="C2" s="6">
        <v>2019</v>
      </c>
      <c r="D2" s="6">
        <v>2020</v>
      </c>
      <c r="E2" s="6">
        <v>2021</v>
      </c>
      <c r="F2" s="6">
        <v>2022</v>
      </c>
      <c r="G2" s="6">
        <v>2023</v>
      </c>
      <c r="H2" s="6">
        <v>2024</v>
      </c>
    </row>
    <row r="3" spans="1:8" x14ac:dyDescent="0.25">
      <c r="A3" t="s">
        <v>183</v>
      </c>
      <c r="B3">
        <v>5.63</v>
      </c>
      <c r="C3">
        <v>5.63</v>
      </c>
      <c r="D3">
        <v>3.24</v>
      </c>
      <c r="E3">
        <v>3.56</v>
      </c>
      <c r="F3">
        <v>2.7</v>
      </c>
      <c r="G3">
        <v>1.73</v>
      </c>
      <c r="H3">
        <v>1.56</v>
      </c>
    </row>
    <row r="4" spans="1:8" x14ac:dyDescent="0.25">
      <c r="A4" t="s">
        <v>187</v>
      </c>
      <c r="B4">
        <v>26.44</v>
      </c>
      <c r="C4">
        <v>20.43</v>
      </c>
      <c r="D4">
        <v>14.9</v>
      </c>
      <c r="E4">
        <v>13.65</v>
      </c>
      <c r="F4">
        <v>12.75</v>
      </c>
      <c r="G4">
        <v>12.59</v>
      </c>
      <c r="H4">
        <v>10.43</v>
      </c>
    </row>
    <row r="5" spans="1:8" x14ac:dyDescent="0.25">
      <c r="A5" t="s">
        <v>184</v>
      </c>
      <c r="B5">
        <v>7.45</v>
      </c>
      <c r="C5">
        <v>6.21</v>
      </c>
      <c r="D5">
        <v>4.24</v>
      </c>
      <c r="E5">
        <v>6.53</v>
      </c>
      <c r="F5">
        <v>5.66</v>
      </c>
      <c r="G5">
        <v>5.51</v>
      </c>
      <c r="H5">
        <v>4.58</v>
      </c>
    </row>
    <row r="6" spans="1:8" x14ac:dyDescent="0.25">
      <c r="A6" t="s">
        <v>251</v>
      </c>
      <c r="B6">
        <v>19.63</v>
      </c>
      <c r="C6">
        <v>19.63</v>
      </c>
      <c r="D6">
        <v>10.86</v>
      </c>
      <c r="E6">
        <v>10.46</v>
      </c>
      <c r="F6">
        <v>9.94</v>
      </c>
      <c r="G6">
        <v>9.81</v>
      </c>
      <c r="H6">
        <v>4.96</v>
      </c>
    </row>
    <row r="7" spans="1:8" x14ac:dyDescent="0.25">
      <c r="A7" t="s">
        <v>252</v>
      </c>
      <c r="B7">
        <v>2.87</v>
      </c>
      <c r="C7">
        <v>2.87</v>
      </c>
      <c r="D7">
        <v>1.05</v>
      </c>
      <c r="E7">
        <v>1.17</v>
      </c>
      <c r="F7">
        <v>1.07</v>
      </c>
      <c r="G7">
        <v>0.9</v>
      </c>
      <c r="H7">
        <v>0.85</v>
      </c>
    </row>
    <row r="8" spans="1:8" x14ac:dyDescent="0.25">
      <c r="A8" t="s">
        <v>190</v>
      </c>
      <c r="B8">
        <v>44.99</v>
      </c>
      <c r="C8">
        <v>26.99</v>
      </c>
      <c r="D8">
        <v>24.44</v>
      </c>
      <c r="E8">
        <v>40.99</v>
      </c>
      <c r="F8">
        <v>23.76</v>
      </c>
      <c r="G8">
        <v>27.2</v>
      </c>
      <c r="H8">
        <v>26.7</v>
      </c>
    </row>
    <row r="9" spans="1:8" x14ac:dyDescent="0.25">
      <c r="A9" t="s">
        <v>250</v>
      </c>
      <c r="B9">
        <v>5.36</v>
      </c>
      <c r="C9">
        <v>5.36</v>
      </c>
      <c r="D9">
        <v>4.62</v>
      </c>
      <c r="E9">
        <v>2.58</v>
      </c>
      <c r="F9">
        <v>2.42</v>
      </c>
      <c r="G9">
        <v>2</v>
      </c>
      <c r="H9">
        <v>1.89</v>
      </c>
    </row>
    <row r="10" spans="1:8" x14ac:dyDescent="0.25">
      <c r="A10" t="s">
        <v>188</v>
      </c>
      <c r="B10">
        <v>4.67</v>
      </c>
      <c r="C10">
        <v>4.67</v>
      </c>
      <c r="D10">
        <v>3.9</v>
      </c>
      <c r="E10">
        <v>3.95</v>
      </c>
      <c r="F10">
        <v>3.72</v>
      </c>
      <c r="G10">
        <v>3.44</v>
      </c>
      <c r="H10">
        <v>3.38</v>
      </c>
    </row>
    <row r="11" spans="1:8" x14ac:dyDescent="0.25">
      <c r="A11" t="s">
        <v>249</v>
      </c>
      <c r="B11">
        <v>85.71</v>
      </c>
      <c r="C11">
        <v>61.22</v>
      </c>
      <c r="D11">
        <v>32.31</v>
      </c>
      <c r="E11">
        <v>10.91</v>
      </c>
      <c r="F11">
        <v>10.34</v>
      </c>
      <c r="G11">
        <v>10.17</v>
      </c>
      <c r="H11">
        <v>9.09</v>
      </c>
    </row>
    <row r="12" spans="1:8" x14ac:dyDescent="0.25">
      <c r="A12" t="s">
        <v>192</v>
      </c>
      <c r="B12">
        <v>13.17</v>
      </c>
      <c r="C12">
        <v>13.17</v>
      </c>
      <c r="D12">
        <v>8</v>
      </c>
      <c r="E12">
        <v>12.35</v>
      </c>
      <c r="F12">
        <v>10.4</v>
      </c>
      <c r="G12">
        <v>7.1</v>
      </c>
      <c r="H12">
        <v>5.67</v>
      </c>
    </row>
    <row r="13" spans="1:8" x14ac:dyDescent="0.25">
      <c r="A13" t="s">
        <v>189</v>
      </c>
      <c r="B13">
        <v>3.16</v>
      </c>
      <c r="C13">
        <v>3.16</v>
      </c>
      <c r="D13">
        <v>2.76</v>
      </c>
      <c r="E13">
        <v>3.31</v>
      </c>
      <c r="F13">
        <v>3.05</v>
      </c>
      <c r="G13">
        <v>2.06</v>
      </c>
      <c r="H13">
        <v>1.91</v>
      </c>
    </row>
    <row r="14" spans="1:8" x14ac:dyDescent="0.25">
      <c r="A14" t="s">
        <v>195</v>
      </c>
    </row>
    <row r="15" spans="1:8" x14ac:dyDescent="0.25">
      <c r="A15" t="s">
        <v>197</v>
      </c>
      <c r="B15">
        <v>10.52</v>
      </c>
      <c r="C15">
        <v>10.52</v>
      </c>
      <c r="D15">
        <v>9.52</v>
      </c>
      <c r="E15">
        <v>5.34</v>
      </c>
      <c r="F15">
        <v>3.44</v>
      </c>
      <c r="G15">
        <v>2.42</v>
      </c>
      <c r="H15">
        <v>1.75</v>
      </c>
    </row>
    <row r="16" spans="1:8" x14ac:dyDescent="0.25">
      <c r="A16" t="s">
        <v>198</v>
      </c>
      <c r="B16">
        <v>1.91</v>
      </c>
      <c r="C16">
        <v>1.91</v>
      </c>
      <c r="D16">
        <v>1.72</v>
      </c>
      <c r="E16">
        <v>2.2400000000000002</v>
      </c>
      <c r="F16">
        <v>1.62</v>
      </c>
      <c r="G16">
        <v>1.35</v>
      </c>
      <c r="H16">
        <v>1.47</v>
      </c>
    </row>
    <row r="17" spans="1:8" x14ac:dyDescent="0.25">
      <c r="A17" t="s">
        <v>253</v>
      </c>
      <c r="B17">
        <v>4.91</v>
      </c>
      <c r="C17">
        <v>4.91</v>
      </c>
      <c r="D17">
        <v>2.0299999999999998</v>
      </c>
      <c r="E17">
        <v>2.33</v>
      </c>
      <c r="F17">
        <v>2.11</v>
      </c>
      <c r="G17">
        <v>1.94</v>
      </c>
      <c r="H17">
        <v>1.48</v>
      </c>
    </row>
    <row r="18" spans="1:8" x14ac:dyDescent="0.25">
      <c r="A18" t="s">
        <v>201</v>
      </c>
      <c r="B18">
        <v>4.4000000000000004</v>
      </c>
      <c r="C18">
        <v>4.4000000000000004</v>
      </c>
      <c r="D18">
        <v>6.51</v>
      </c>
      <c r="E18">
        <v>5.74</v>
      </c>
      <c r="F18">
        <v>5.88</v>
      </c>
      <c r="G18">
        <v>5.0599999999999996</v>
      </c>
      <c r="H18">
        <v>4.5599999999999996</v>
      </c>
    </row>
    <row r="19" spans="1:8" x14ac:dyDescent="0.25">
      <c r="A19" t="s">
        <v>199</v>
      </c>
      <c r="B19">
        <v>9.2200000000000006</v>
      </c>
      <c r="C19">
        <v>9.2200000000000006</v>
      </c>
      <c r="D19">
        <v>8.3699999999999992</v>
      </c>
      <c r="E19">
        <v>12.18</v>
      </c>
      <c r="F19">
        <v>11.55</v>
      </c>
      <c r="G19">
        <v>11.03</v>
      </c>
      <c r="H19">
        <v>4.25</v>
      </c>
    </row>
    <row r="20" spans="1:8" x14ac:dyDescent="0.25">
      <c r="A20" t="s">
        <v>202</v>
      </c>
      <c r="B20">
        <v>28.79</v>
      </c>
      <c r="C20">
        <v>25.91</v>
      </c>
      <c r="D20">
        <v>24.65</v>
      </c>
      <c r="E20">
        <v>8.4499999999999993</v>
      </c>
      <c r="F20">
        <v>7.97</v>
      </c>
      <c r="G20">
        <v>9.7899999999999991</v>
      </c>
      <c r="H20">
        <v>8.5399999999999991</v>
      </c>
    </row>
    <row r="21" spans="1:8" x14ac:dyDescent="0.25">
      <c r="A21" t="s">
        <v>194</v>
      </c>
      <c r="E21">
        <v>23.54</v>
      </c>
      <c r="F21">
        <v>10.29</v>
      </c>
    </row>
    <row r="22" spans="1:8" x14ac:dyDescent="0.25">
      <c r="A22" t="s">
        <v>203</v>
      </c>
      <c r="B22">
        <v>3.66</v>
      </c>
      <c r="C22">
        <v>3.66</v>
      </c>
      <c r="D22">
        <v>3.31</v>
      </c>
      <c r="E22">
        <v>3.12</v>
      </c>
      <c r="F22">
        <v>2.77</v>
      </c>
      <c r="G22">
        <v>1.97</v>
      </c>
      <c r="H22">
        <v>1.79</v>
      </c>
    </row>
    <row r="23" spans="1:8" x14ac:dyDescent="0.25">
      <c r="A23" t="s">
        <v>205</v>
      </c>
      <c r="B23">
        <v>10</v>
      </c>
      <c r="C23">
        <v>10</v>
      </c>
      <c r="D23">
        <v>8.2799999999999994</v>
      </c>
      <c r="E23">
        <v>18.11</v>
      </c>
      <c r="F23">
        <v>15.48</v>
      </c>
      <c r="G23">
        <v>7.84</v>
      </c>
      <c r="H23">
        <v>8.2200000000000006</v>
      </c>
    </row>
    <row r="24" spans="1:8" x14ac:dyDescent="0.25">
      <c r="A24" t="s">
        <v>204</v>
      </c>
      <c r="B24">
        <v>7.88</v>
      </c>
      <c r="C24">
        <v>7.88</v>
      </c>
      <c r="D24">
        <v>6.29</v>
      </c>
      <c r="E24">
        <v>7.44</v>
      </c>
      <c r="F24">
        <v>4.93</v>
      </c>
      <c r="G24">
        <v>4.51</v>
      </c>
      <c r="H24">
        <v>5.0599999999999996</v>
      </c>
    </row>
    <row r="25" spans="1:8" x14ac:dyDescent="0.25">
      <c r="A25" t="s">
        <v>206</v>
      </c>
      <c r="B25">
        <v>20.45</v>
      </c>
      <c r="C25">
        <v>20.45</v>
      </c>
      <c r="D25">
        <v>16.41</v>
      </c>
      <c r="E25">
        <v>13.19</v>
      </c>
      <c r="F25">
        <v>9.32</v>
      </c>
      <c r="G25">
        <v>8.9499999999999993</v>
      </c>
      <c r="H25">
        <v>6.28</v>
      </c>
    </row>
    <row r="26" spans="1:8" x14ac:dyDescent="0.25">
      <c r="A26" t="s">
        <v>208</v>
      </c>
      <c r="B26">
        <v>13.01</v>
      </c>
      <c r="C26">
        <v>13.01</v>
      </c>
      <c r="D26">
        <v>4.72</v>
      </c>
      <c r="E26">
        <v>10.08</v>
      </c>
      <c r="F26">
        <v>9.7200000000000006</v>
      </c>
      <c r="G26">
        <v>9.6199999999999992</v>
      </c>
      <c r="H26">
        <v>9.24</v>
      </c>
    </row>
    <row r="27" spans="1:8" x14ac:dyDescent="0.25">
      <c r="A27" t="s">
        <v>210</v>
      </c>
      <c r="B27">
        <v>7.23</v>
      </c>
      <c r="C27">
        <v>7.23</v>
      </c>
      <c r="D27">
        <v>7.99</v>
      </c>
      <c r="E27">
        <v>11.94</v>
      </c>
      <c r="F27">
        <v>9.35</v>
      </c>
      <c r="G27">
        <v>9.0399999999999991</v>
      </c>
      <c r="H27">
        <v>5.08</v>
      </c>
    </row>
    <row r="28" spans="1:8" x14ac:dyDescent="0.25">
      <c r="A28" t="s">
        <v>209</v>
      </c>
      <c r="B28">
        <v>0.88</v>
      </c>
      <c r="C28">
        <v>0.72</v>
      </c>
      <c r="D28">
        <v>0.67</v>
      </c>
      <c r="E28">
        <v>0.89</v>
      </c>
      <c r="F28">
        <v>0.78</v>
      </c>
      <c r="G28">
        <v>0.71</v>
      </c>
      <c r="H28">
        <v>0.62</v>
      </c>
    </row>
    <row r="29" spans="1:8" x14ac:dyDescent="0.25">
      <c r="A29" t="s">
        <v>207</v>
      </c>
      <c r="B29">
        <v>22.76</v>
      </c>
      <c r="C29">
        <v>22.76</v>
      </c>
      <c r="D29">
        <v>20.02</v>
      </c>
      <c r="E29">
        <v>10.41</v>
      </c>
      <c r="F29">
        <v>9.44</v>
      </c>
      <c r="G29">
        <v>8.7799999999999994</v>
      </c>
      <c r="H29">
        <v>8.83</v>
      </c>
    </row>
    <row r="30" spans="1:8" x14ac:dyDescent="0.25">
      <c r="A30" t="s">
        <v>254</v>
      </c>
      <c r="B30">
        <v>4.0599999999999996</v>
      </c>
      <c r="C30">
        <v>4.0599999999999996</v>
      </c>
      <c r="D30">
        <v>2.54</v>
      </c>
      <c r="E30">
        <v>2.59</v>
      </c>
      <c r="F30">
        <v>2.57</v>
      </c>
      <c r="G30">
        <v>1.06</v>
      </c>
      <c r="H30">
        <v>0.99</v>
      </c>
    </row>
    <row r="31" spans="1:8" x14ac:dyDescent="0.25">
      <c r="A31" t="s">
        <v>212</v>
      </c>
      <c r="B31">
        <v>22.73</v>
      </c>
      <c r="C31">
        <v>22.73</v>
      </c>
      <c r="D31">
        <v>15</v>
      </c>
      <c r="E31">
        <v>15.34</v>
      </c>
      <c r="F31">
        <v>7.16</v>
      </c>
      <c r="G31">
        <v>7.17</v>
      </c>
      <c r="H31">
        <v>8.31</v>
      </c>
    </row>
    <row r="32" spans="1:8" x14ac:dyDescent="0.25">
      <c r="A32" t="s">
        <v>213</v>
      </c>
      <c r="B32">
        <v>2.4</v>
      </c>
      <c r="C32">
        <v>2.4</v>
      </c>
      <c r="D32">
        <v>1.71</v>
      </c>
      <c r="E32">
        <v>2</v>
      </c>
      <c r="F32">
        <v>1.8</v>
      </c>
      <c r="G32">
        <v>1.61</v>
      </c>
      <c r="H32">
        <v>1.75</v>
      </c>
    </row>
    <row r="33" spans="1:8" x14ac:dyDescent="0.25">
      <c r="A33" t="s">
        <v>214</v>
      </c>
      <c r="B33">
        <v>7.15</v>
      </c>
      <c r="C33">
        <v>7.15</v>
      </c>
      <c r="D33">
        <v>6.88</v>
      </c>
      <c r="E33">
        <v>6.53</v>
      </c>
      <c r="F33">
        <v>2.97</v>
      </c>
      <c r="G33">
        <v>2.46</v>
      </c>
      <c r="H33">
        <v>2.11</v>
      </c>
    </row>
    <row r="34" spans="1:8" x14ac:dyDescent="0.25">
      <c r="A34" t="s">
        <v>216</v>
      </c>
      <c r="B34">
        <v>3.06</v>
      </c>
      <c r="C34">
        <v>3.06</v>
      </c>
      <c r="D34">
        <v>2.76</v>
      </c>
      <c r="E34">
        <v>2.87</v>
      </c>
      <c r="F34">
        <v>2.75</v>
      </c>
      <c r="G34">
        <v>2.4700000000000002</v>
      </c>
      <c r="H34">
        <v>2.34</v>
      </c>
    </row>
    <row r="35" spans="1:8" x14ac:dyDescent="0.25">
      <c r="A35" t="s">
        <v>218</v>
      </c>
      <c r="B35">
        <v>20.58</v>
      </c>
      <c r="C35">
        <v>16.64</v>
      </c>
      <c r="D35">
        <v>15.6</v>
      </c>
      <c r="E35">
        <v>14.4</v>
      </c>
      <c r="F35">
        <v>3.29</v>
      </c>
      <c r="G35">
        <v>5.64</v>
      </c>
      <c r="H35">
        <v>4.51</v>
      </c>
    </row>
    <row r="36" spans="1:8" x14ac:dyDescent="0.25">
      <c r="A36" t="s">
        <v>220</v>
      </c>
      <c r="G36">
        <v>32.590000000000003</v>
      </c>
      <c r="H36">
        <v>13.22</v>
      </c>
    </row>
    <row r="37" spans="1:8" x14ac:dyDescent="0.25">
      <c r="A37" t="s">
        <v>215</v>
      </c>
      <c r="B37">
        <v>6.12</v>
      </c>
      <c r="C37">
        <v>6.12</v>
      </c>
      <c r="D37">
        <v>6.11</v>
      </c>
      <c r="E37">
        <v>5.66</v>
      </c>
      <c r="F37">
        <v>5.1100000000000003</v>
      </c>
      <c r="G37">
        <v>4.6500000000000004</v>
      </c>
      <c r="H37">
        <v>2.99</v>
      </c>
    </row>
    <row r="38" spans="1:8" x14ac:dyDescent="0.25">
      <c r="A38" t="s">
        <v>196</v>
      </c>
      <c r="B38">
        <v>5.41</v>
      </c>
      <c r="C38">
        <v>5.41</v>
      </c>
      <c r="D38">
        <v>5.33</v>
      </c>
      <c r="E38">
        <v>4.05</v>
      </c>
      <c r="F38">
        <v>3.84</v>
      </c>
      <c r="G38">
        <v>3.55</v>
      </c>
      <c r="H38">
        <v>3.47</v>
      </c>
    </row>
    <row r="39" spans="1:8" x14ac:dyDescent="0.25">
      <c r="A39" t="s">
        <v>217</v>
      </c>
      <c r="B39">
        <v>2.21</v>
      </c>
      <c r="C39">
        <v>2.21</v>
      </c>
      <c r="D39">
        <v>2.0299999999999998</v>
      </c>
      <c r="E39">
        <v>2.52</v>
      </c>
      <c r="F39">
        <v>2.54</v>
      </c>
      <c r="G39">
        <v>1.6</v>
      </c>
      <c r="H39">
        <v>0.82</v>
      </c>
    </row>
    <row r="40" spans="1:8" x14ac:dyDescent="0.25">
      <c r="A40" t="s">
        <v>191</v>
      </c>
      <c r="B40">
        <v>32.229999999999997</v>
      </c>
      <c r="C40">
        <v>32.229999999999997</v>
      </c>
      <c r="D40">
        <v>17.59</v>
      </c>
      <c r="E40">
        <v>24.1</v>
      </c>
      <c r="F40">
        <v>22.51</v>
      </c>
      <c r="G40">
        <v>32.69</v>
      </c>
      <c r="H40">
        <v>8.3699999999999992</v>
      </c>
    </row>
    <row r="41" spans="1:8" x14ac:dyDescent="0.25">
      <c r="A41" t="s">
        <v>222</v>
      </c>
      <c r="B41">
        <v>16.61</v>
      </c>
      <c r="C41">
        <v>16.61</v>
      </c>
      <c r="D41">
        <v>15.1</v>
      </c>
      <c r="E41">
        <v>11.37</v>
      </c>
      <c r="F41">
        <v>8.6999999999999993</v>
      </c>
      <c r="G41">
        <v>6.27</v>
      </c>
      <c r="H41">
        <v>5.83</v>
      </c>
    </row>
    <row r="42" spans="1:8" x14ac:dyDescent="0.25">
      <c r="A42" t="s">
        <v>221</v>
      </c>
      <c r="B42">
        <v>7.8</v>
      </c>
      <c r="C42">
        <v>7.8</v>
      </c>
      <c r="D42">
        <v>6.75</v>
      </c>
      <c r="E42">
        <v>4.9000000000000004</v>
      </c>
      <c r="F42">
        <v>4.6100000000000003</v>
      </c>
      <c r="G42">
        <v>4.4400000000000004</v>
      </c>
      <c r="H42">
        <v>4.2300000000000004</v>
      </c>
    </row>
    <row r="43" spans="1:8" x14ac:dyDescent="0.25">
      <c r="A43" t="s">
        <v>223</v>
      </c>
      <c r="B43">
        <v>10.39</v>
      </c>
      <c r="C43">
        <v>10.39</v>
      </c>
      <c r="D43">
        <v>8.49</v>
      </c>
      <c r="E43">
        <v>8.0399999999999991</v>
      </c>
      <c r="F43">
        <v>5.44</v>
      </c>
      <c r="G43">
        <v>3.55</v>
      </c>
      <c r="H43">
        <v>3.22</v>
      </c>
    </row>
    <row r="44" spans="1:8" x14ac:dyDescent="0.25">
      <c r="A44" t="s">
        <v>219</v>
      </c>
      <c r="B44">
        <v>3.95</v>
      </c>
      <c r="C44">
        <v>3.95</v>
      </c>
      <c r="D44">
        <v>2.5299999999999998</v>
      </c>
      <c r="E44">
        <v>2.3199999999999998</v>
      </c>
      <c r="F44">
        <v>1.76</v>
      </c>
      <c r="G44">
        <v>1.65</v>
      </c>
      <c r="H44">
        <v>1.63</v>
      </c>
    </row>
    <row r="45" spans="1:8" x14ac:dyDescent="0.25">
      <c r="A45" t="s">
        <v>224</v>
      </c>
      <c r="B45">
        <v>4.01</v>
      </c>
      <c r="C45">
        <v>4.01</v>
      </c>
      <c r="D45">
        <v>3.65</v>
      </c>
      <c r="E45">
        <v>6.4</v>
      </c>
      <c r="F45">
        <v>2.35</v>
      </c>
      <c r="G45">
        <v>2.02</v>
      </c>
      <c r="H45">
        <v>2.17</v>
      </c>
    </row>
    <row r="46" spans="1:8" x14ac:dyDescent="0.25">
      <c r="A46" t="s">
        <v>225</v>
      </c>
      <c r="B46">
        <v>23.46</v>
      </c>
      <c r="E46">
        <v>29.62</v>
      </c>
      <c r="F46">
        <v>18.440000000000001</v>
      </c>
      <c r="G46">
        <v>4.76</v>
      </c>
      <c r="H46" s="52">
        <v>8.7899999999999991</v>
      </c>
    </row>
    <row r="47" spans="1:8" x14ac:dyDescent="0.25">
      <c r="B47" s="12"/>
      <c r="C47" s="12"/>
      <c r="D47" s="12"/>
      <c r="E47" s="12"/>
      <c r="F47" s="12"/>
      <c r="G47" s="12"/>
      <c r="H47" s="12"/>
    </row>
    <row r="48" spans="1:8" x14ac:dyDescent="0.25">
      <c r="A48" s="1" t="s">
        <v>57</v>
      </c>
      <c r="B48" s="12"/>
      <c r="C48" s="12"/>
      <c r="D48" s="12"/>
      <c r="E48" s="12"/>
      <c r="F48" s="12"/>
      <c r="G48" s="12"/>
      <c r="H48" s="12"/>
    </row>
    <row r="49" spans="1:8" x14ac:dyDescent="0.25">
      <c r="B49" s="6">
        <v>2018</v>
      </c>
      <c r="C49" s="6">
        <v>2019</v>
      </c>
      <c r="D49" s="6">
        <v>2020</v>
      </c>
      <c r="E49" s="6">
        <v>2021</v>
      </c>
      <c r="F49" s="6">
        <v>2022</v>
      </c>
      <c r="G49" s="6">
        <v>2023</v>
      </c>
      <c r="H49" s="6">
        <v>2024</v>
      </c>
    </row>
    <row r="50" spans="1:8" x14ac:dyDescent="0.25">
      <c r="A50" t="s">
        <v>183</v>
      </c>
      <c r="B50">
        <v>9.2899999999999991</v>
      </c>
      <c r="C50">
        <v>9.2899999999999991</v>
      </c>
      <c r="D50">
        <v>8.6</v>
      </c>
      <c r="E50">
        <v>16.100000000000001</v>
      </c>
      <c r="F50">
        <v>12.18</v>
      </c>
      <c r="G50">
        <v>17</v>
      </c>
      <c r="H50">
        <v>15.36</v>
      </c>
    </row>
    <row r="51" spans="1:8" x14ac:dyDescent="0.25">
      <c r="A51" t="s">
        <v>187</v>
      </c>
    </row>
    <row r="52" spans="1:8" x14ac:dyDescent="0.25">
      <c r="A52" t="s">
        <v>184</v>
      </c>
      <c r="B52">
        <v>37.25</v>
      </c>
      <c r="C52">
        <v>39.729999999999997</v>
      </c>
      <c r="D52">
        <v>25.45</v>
      </c>
      <c r="E52">
        <v>26.11</v>
      </c>
      <c r="F52">
        <v>22.96</v>
      </c>
      <c r="G52">
        <v>23.82</v>
      </c>
      <c r="H52">
        <v>22.2</v>
      </c>
    </row>
    <row r="53" spans="1:8" x14ac:dyDescent="0.25">
      <c r="A53" t="s">
        <v>251</v>
      </c>
      <c r="B53">
        <v>40.9</v>
      </c>
      <c r="C53">
        <v>40.9</v>
      </c>
      <c r="D53">
        <v>33.94</v>
      </c>
      <c r="E53">
        <v>32.69</v>
      </c>
      <c r="F53">
        <v>31.07</v>
      </c>
      <c r="G53">
        <v>30.66</v>
      </c>
      <c r="H53">
        <v>29.51</v>
      </c>
    </row>
    <row r="54" spans="1:8" x14ac:dyDescent="0.25">
      <c r="A54" t="s">
        <v>252</v>
      </c>
      <c r="B54">
        <v>4.4000000000000004</v>
      </c>
      <c r="C54">
        <v>4.4000000000000004</v>
      </c>
      <c r="D54">
        <v>4.4000000000000004</v>
      </c>
      <c r="E54">
        <v>7.39</v>
      </c>
      <c r="F54">
        <v>10.09</v>
      </c>
      <c r="G54">
        <v>6.09</v>
      </c>
      <c r="H54">
        <v>5.74</v>
      </c>
    </row>
    <row r="55" spans="1:8" x14ac:dyDescent="0.25">
      <c r="A55" t="s">
        <v>190</v>
      </c>
    </row>
    <row r="56" spans="1:8" x14ac:dyDescent="0.25">
      <c r="A56" t="s">
        <v>250</v>
      </c>
      <c r="B56">
        <v>25.48</v>
      </c>
      <c r="C56">
        <v>25.48</v>
      </c>
      <c r="D56">
        <v>17.559999999999999</v>
      </c>
      <c r="E56">
        <v>15.69</v>
      </c>
      <c r="F56">
        <v>12.98</v>
      </c>
      <c r="G56">
        <v>11.98</v>
      </c>
      <c r="H56">
        <v>11.33</v>
      </c>
    </row>
    <row r="57" spans="1:8" x14ac:dyDescent="0.25">
      <c r="A57" t="s">
        <v>188</v>
      </c>
      <c r="B57">
        <v>22.34</v>
      </c>
      <c r="C57">
        <v>22.34</v>
      </c>
      <c r="D57">
        <v>20.78</v>
      </c>
      <c r="E57">
        <v>21.03</v>
      </c>
      <c r="F57">
        <v>19.78</v>
      </c>
      <c r="G57">
        <v>18.29</v>
      </c>
      <c r="H57">
        <v>18.11</v>
      </c>
    </row>
    <row r="58" spans="1:8" x14ac:dyDescent="0.25">
      <c r="A58" t="s">
        <v>249</v>
      </c>
    </row>
    <row r="59" spans="1:8" x14ac:dyDescent="0.25">
      <c r="A59" t="s">
        <v>192</v>
      </c>
      <c r="B59">
        <v>19.75</v>
      </c>
      <c r="C59">
        <v>19.75</v>
      </c>
      <c r="D59">
        <v>17.149999999999999</v>
      </c>
      <c r="E59">
        <v>30.88</v>
      </c>
      <c r="F59">
        <v>30.96</v>
      </c>
      <c r="G59">
        <v>21.14</v>
      </c>
      <c r="H59">
        <v>20.85</v>
      </c>
    </row>
    <row r="60" spans="1:8" x14ac:dyDescent="0.25">
      <c r="A60" t="s">
        <v>189</v>
      </c>
      <c r="B60">
        <v>3.69</v>
      </c>
      <c r="C60">
        <v>3.69</v>
      </c>
      <c r="D60">
        <v>2.59</v>
      </c>
      <c r="E60">
        <v>3.1</v>
      </c>
      <c r="F60">
        <v>2.85</v>
      </c>
      <c r="G60">
        <v>2.21</v>
      </c>
      <c r="H60">
        <v>2.46</v>
      </c>
    </row>
    <row r="61" spans="1:8" x14ac:dyDescent="0.25">
      <c r="A61" t="s">
        <v>195</v>
      </c>
    </row>
    <row r="62" spans="1:8" x14ac:dyDescent="0.25">
      <c r="A62" t="s">
        <v>197</v>
      </c>
      <c r="B62">
        <v>30.46</v>
      </c>
      <c r="C62">
        <v>30.46</v>
      </c>
      <c r="D62">
        <v>25.01</v>
      </c>
      <c r="E62">
        <v>20.51</v>
      </c>
      <c r="F62">
        <v>16.34</v>
      </c>
      <c r="G62">
        <v>12.05</v>
      </c>
      <c r="H62">
        <v>10.56</v>
      </c>
    </row>
    <row r="63" spans="1:8" x14ac:dyDescent="0.25">
      <c r="A63" t="s">
        <v>198</v>
      </c>
      <c r="B63">
        <v>7.94</v>
      </c>
      <c r="C63">
        <v>7.94</v>
      </c>
      <c r="D63">
        <v>7.17</v>
      </c>
      <c r="E63">
        <v>8</v>
      </c>
      <c r="F63">
        <v>7.23</v>
      </c>
      <c r="G63">
        <v>6.04</v>
      </c>
      <c r="H63">
        <v>6.54</v>
      </c>
    </row>
    <row r="64" spans="1:8" x14ac:dyDescent="0.25">
      <c r="A64" t="s">
        <v>253</v>
      </c>
      <c r="B64">
        <v>10.44</v>
      </c>
      <c r="D64">
        <v>12.81</v>
      </c>
      <c r="E64">
        <v>12.71</v>
      </c>
      <c r="F64">
        <v>12.76</v>
      </c>
      <c r="G64">
        <v>9.25</v>
      </c>
      <c r="H64">
        <v>4.93</v>
      </c>
    </row>
    <row r="65" spans="1:8" x14ac:dyDescent="0.25">
      <c r="A65" t="s">
        <v>201</v>
      </c>
      <c r="B65">
        <v>16.850000000000001</v>
      </c>
      <c r="C65">
        <v>16.850000000000001</v>
      </c>
      <c r="D65">
        <v>12.5</v>
      </c>
      <c r="E65">
        <v>11.03</v>
      </c>
      <c r="F65">
        <v>11.29</v>
      </c>
      <c r="G65">
        <v>8.1</v>
      </c>
      <c r="H65">
        <v>7.29</v>
      </c>
    </row>
    <row r="66" spans="1:8" x14ac:dyDescent="0.25">
      <c r="A66" t="s">
        <v>199</v>
      </c>
    </row>
    <row r="67" spans="1:8" x14ac:dyDescent="0.25">
      <c r="A67" t="s">
        <v>202</v>
      </c>
      <c r="B67">
        <v>72.599999999999994</v>
      </c>
      <c r="C67">
        <v>72.599999999999994</v>
      </c>
      <c r="D67">
        <v>69.069999999999993</v>
      </c>
      <c r="E67">
        <v>71.05</v>
      </c>
      <c r="F67">
        <v>67.03</v>
      </c>
      <c r="G67">
        <v>61.72</v>
      </c>
      <c r="H67">
        <v>53.82</v>
      </c>
    </row>
    <row r="68" spans="1:8" x14ac:dyDescent="0.25">
      <c r="A68" t="s">
        <v>194</v>
      </c>
      <c r="D68">
        <v>17.5</v>
      </c>
      <c r="E68">
        <v>20.6</v>
      </c>
      <c r="F68">
        <v>12.86</v>
      </c>
    </row>
    <row r="69" spans="1:8" x14ac:dyDescent="0.25">
      <c r="A69" t="s">
        <v>203</v>
      </c>
      <c r="B69">
        <v>18.27</v>
      </c>
      <c r="C69">
        <v>18.27</v>
      </c>
      <c r="D69">
        <v>16.23</v>
      </c>
      <c r="E69">
        <v>18.12</v>
      </c>
      <c r="F69">
        <v>16.61</v>
      </c>
      <c r="G69">
        <v>14.77</v>
      </c>
      <c r="H69">
        <v>13.42</v>
      </c>
    </row>
    <row r="70" spans="1:8" x14ac:dyDescent="0.25">
      <c r="A70" t="s">
        <v>205</v>
      </c>
      <c r="H70">
        <v>152.88</v>
      </c>
    </row>
    <row r="71" spans="1:8" x14ac:dyDescent="0.25">
      <c r="A71" t="s">
        <v>204</v>
      </c>
      <c r="B71">
        <v>6.5</v>
      </c>
      <c r="C71">
        <v>6.5</v>
      </c>
      <c r="D71">
        <v>6.23</v>
      </c>
      <c r="E71">
        <v>7.36</v>
      </c>
      <c r="F71">
        <v>6.1</v>
      </c>
      <c r="G71">
        <v>5.58</v>
      </c>
      <c r="H71">
        <v>6.27</v>
      </c>
    </row>
    <row r="72" spans="1:8" x14ac:dyDescent="0.25">
      <c r="A72" t="s">
        <v>206</v>
      </c>
      <c r="B72">
        <v>203.64</v>
      </c>
      <c r="C72">
        <v>203.64</v>
      </c>
      <c r="D72">
        <v>163.41</v>
      </c>
      <c r="E72">
        <v>164.21</v>
      </c>
      <c r="F72">
        <v>92.62</v>
      </c>
      <c r="G72">
        <v>88.95</v>
      </c>
      <c r="H72">
        <v>51.79</v>
      </c>
    </row>
    <row r="73" spans="1:8" x14ac:dyDescent="0.25">
      <c r="A73" t="s">
        <v>208</v>
      </c>
      <c r="B73">
        <v>25.76</v>
      </c>
      <c r="C73">
        <v>25.76</v>
      </c>
      <c r="D73">
        <v>23.37</v>
      </c>
      <c r="E73">
        <v>24.95</v>
      </c>
      <c r="F73">
        <v>24.05</v>
      </c>
      <c r="G73">
        <v>23.82</v>
      </c>
      <c r="H73">
        <v>22.88</v>
      </c>
    </row>
    <row r="74" spans="1:8" x14ac:dyDescent="0.25">
      <c r="A74" t="s">
        <v>210</v>
      </c>
      <c r="B74">
        <v>29.39</v>
      </c>
      <c r="D74">
        <v>35.97</v>
      </c>
      <c r="E74">
        <v>35.82</v>
      </c>
      <c r="F74">
        <v>33.67</v>
      </c>
      <c r="G74">
        <v>32.270000000000003</v>
      </c>
      <c r="H74">
        <v>45.85</v>
      </c>
    </row>
    <row r="75" spans="1:8" x14ac:dyDescent="0.25">
      <c r="A75" t="s">
        <v>209</v>
      </c>
      <c r="B75">
        <v>1.68</v>
      </c>
      <c r="C75">
        <v>1.46</v>
      </c>
      <c r="D75">
        <v>1.37</v>
      </c>
      <c r="E75">
        <v>1.62</v>
      </c>
      <c r="F75">
        <v>1.42</v>
      </c>
      <c r="G75">
        <v>1.3</v>
      </c>
      <c r="H75">
        <v>1.1299999999999999</v>
      </c>
    </row>
    <row r="76" spans="1:8" x14ac:dyDescent="0.25">
      <c r="A76" t="s">
        <v>207</v>
      </c>
      <c r="B76">
        <v>120.44</v>
      </c>
      <c r="C76">
        <v>120.44</v>
      </c>
      <c r="D76">
        <v>108.1</v>
      </c>
      <c r="E76">
        <v>63.31</v>
      </c>
      <c r="F76">
        <v>63.71</v>
      </c>
      <c r="G76">
        <v>46.88</v>
      </c>
      <c r="H76">
        <v>46.88</v>
      </c>
    </row>
    <row r="77" spans="1:8" x14ac:dyDescent="0.25">
      <c r="A77" t="s">
        <v>254</v>
      </c>
      <c r="B77">
        <v>8.6199999999999992</v>
      </c>
      <c r="C77">
        <v>8.6199999999999992</v>
      </c>
      <c r="D77">
        <v>8.6</v>
      </c>
      <c r="E77">
        <v>8.7799999999999994</v>
      </c>
      <c r="F77">
        <v>8.6999999999999993</v>
      </c>
      <c r="G77">
        <v>7.67</v>
      </c>
      <c r="H77">
        <v>5.0199999999999996</v>
      </c>
    </row>
    <row r="78" spans="1:8" x14ac:dyDescent="0.25">
      <c r="A78" t="s">
        <v>212</v>
      </c>
      <c r="B78">
        <v>142.06</v>
      </c>
      <c r="C78">
        <v>169.06</v>
      </c>
      <c r="D78">
        <v>111.54</v>
      </c>
      <c r="H78">
        <v>61.14</v>
      </c>
    </row>
    <row r="79" spans="1:8" x14ac:dyDescent="0.25">
      <c r="A79" t="s">
        <v>213</v>
      </c>
      <c r="B79">
        <v>25.2</v>
      </c>
      <c r="C79">
        <v>25.2</v>
      </c>
      <c r="D79">
        <v>22.08</v>
      </c>
      <c r="E79">
        <v>21.47</v>
      </c>
      <c r="F79">
        <v>19.329999999999998</v>
      </c>
      <c r="G79">
        <v>17.34</v>
      </c>
      <c r="H79">
        <v>17.329999999999998</v>
      </c>
    </row>
    <row r="80" spans="1:8" x14ac:dyDescent="0.25">
      <c r="A80" t="s">
        <v>214</v>
      </c>
      <c r="B80">
        <v>125.06</v>
      </c>
      <c r="C80">
        <v>125.06</v>
      </c>
      <c r="D80">
        <v>48.14</v>
      </c>
      <c r="E80">
        <v>45.7</v>
      </c>
      <c r="F80">
        <v>41.61</v>
      </c>
      <c r="G80">
        <v>30.78</v>
      </c>
      <c r="H80">
        <v>26.38</v>
      </c>
    </row>
    <row r="81" spans="1:8" x14ac:dyDescent="0.25">
      <c r="A81" t="s">
        <v>216</v>
      </c>
      <c r="B81">
        <v>19.760000000000002</v>
      </c>
      <c r="C81">
        <v>19.760000000000002</v>
      </c>
      <c r="D81">
        <v>18.75</v>
      </c>
      <c r="E81">
        <v>18.52</v>
      </c>
      <c r="F81">
        <v>17.75</v>
      </c>
      <c r="G81">
        <v>15.95</v>
      </c>
      <c r="H81">
        <v>15.12</v>
      </c>
    </row>
    <row r="82" spans="1:8" x14ac:dyDescent="0.25">
      <c r="A82" t="s">
        <v>218</v>
      </c>
    </row>
    <row r="83" spans="1:8" x14ac:dyDescent="0.25">
      <c r="A83" t="s">
        <v>220</v>
      </c>
    </row>
    <row r="84" spans="1:8" x14ac:dyDescent="0.25">
      <c r="A84" t="s">
        <v>215</v>
      </c>
      <c r="B84">
        <v>18.739999999999998</v>
      </c>
      <c r="C84">
        <v>18.739999999999998</v>
      </c>
      <c r="D84">
        <v>18.600000000000001</v>
      </c>
      <c r="E84">
        <v>17.25</v>
      </c>
      <c r="F84">
        <v>15.57</v>
      </c>
      <c r="G84">
        <v>16.68</v>
      </c>
      <c r="H84">
        <v>15.76</v>
      </c>
    </row>
    <row r="85" spans="1:8" x14ac:dyDescent="0.25">
      <c r="A85" t="s">
        <v>196</v>
      </c>
      <c r="B85">
        <v>14.76</v>
      </c>
      <c r="C85">
        <v>14.76</v>
      </c>
      <c r="D85">
        <v>15.2</v>
      </c>
      <c r="E85">
        <v>14.12</v>
      </c>
      <c r="F85">
        <v>13.37</v>
      </c>
      <c r="G85">
        <v>1.87</v>
      </c>
      <c r="H85">
        <v>1.74</v>
      </c>
    </row>
    <row r="86" spans="1:8" x14ac:dyDescent="0.25">
      <c r="A86" t="s">
        <v>217</v>
      </c>
      <c r="B86">
        <v>1.42</v>
      </c>
      <c r="C86">
        <v>1.1100000000000001</v>
      </c>
      <c r="D86">
        <v>1.02</v>
      </c>
      <c r="E86">
        <v>1.27</v>
      </c>
      <c r="F86">
        <v>1.1399999999999999</v>
      </c>
      <c r="G86">
        <v>1.1100000000000001</v>
      </c>
      <c r="H86">
        <v>0.96</v>
      </c>
    </row>
    <row r="87" spans="1:8" x14ac:dyDescent="0.25">
      <c r="A87" t="s">
        <v>191</v>
      </c>
    </row>
    <row r="88" spans="1:8" x14ac:dyDescent="0.25">
      <c r="A88" t="s">
        <v>222</v>
      </c>
      <c r="B88">
        <v>41.53</v>
      </c>
      <c r="C88">
        <v>41.53</v>
      </c>
      <c r="D88">
        <v>37.75</v>
      </c>
      <c r="E88">
        <v>56.84</v>
      </c>
      <c r="F88">
        <v>32.619999999999997</v>
      </c>
      <c r="G88">
        <v>31.34</v>
      </c>
      <c r="H88">
        <v>29.17</v>
      </c>
    </row>
    <row r="89" spans="1:8" x14ac:dyDescent="0.25">
      <c r="A89" t="s">
        <v>221</v>
      </c>
      <c r="B89">
        <v>21.83</v>
      </c>
      <c r="C89">
        <v>23.39</v>
      </c>
      <c r="D89">
        <v>21.46</v>
      </c>
      <c r="E89">
        <v>22.04</v>
      </c>
      <c r="F89">
        <v>20.74</v>
      </c>
      <c r="G89">
        <v>4.4400000000000004</v>
      </c>
      <c r="H89">
        <v>4.2300000000000004</v>
      </c>
    </row>
    <row r="90" spans="1:8" x14ac:dyDescent="0.25">
      <c r="A90" t="s">
        <v>223</v>
      </c>
      <c r="B90">
        <v>41.54</v>
      </c>
      <c r="C90">
        <v>41.54</v>
      </c>
      <c r="F90">
        <v>50.53</v>
      </c>
      <c r="G90">
        <v>46.09</v>
      </c>
      <c r="H90">
        <v>36.03</v>
      </c>
    </row>
    <row r="91" spans="1:8" x14ac:dyDescent="0.25">
      <c r="A91" t="s">
        <v>219</v>
      </c>
      <c r="B91">
        <v>6.54</v>
      </c>
      <c r="C91">
        <v>6.54</v>
      </c>
      <c r="D91">
        <v>4.6900000000000004</v>
      </c>
      <c r="E91">
        <v>4.8</v>
      </c>
      <c r="F91">
        <v>3.89</v>
      </c>
      <c r="G91">
        <v>4.1500000000000004</v>
      </c>
      <c r="H91">
        <v>3.32</v>
      </c>
    </row>
    <row r="92" spans="1:8" x14ac:dyDescent="0.25">
      <c r="A92" t="s">
        <v>224</v>
      </c>
      <c r="B92">
        <v>20.059999999999999</v>
      </c>
      <c r="C92">
        <v>20.059999999999999</v>
      </c>
      <c r="D92">
        <v>18.260000000000002</v>
      </c>
      <c r="E92">
        <v>15.99</v>
      </c>
      <c r="F92">
        <v>14.71</v>
      </c>
      <c r="G92">
        <v>12.6</v>
      </c>
      <c r="H92">
        <v>4.5199999999999996</v>
      </c>
    </row>
    <row r="93" spans="1:8" x14ac:dyDescent="0.25">
      <c r="A93" t="s">
        <v>225</v>
      </c>
      <c r="B93">
        <v>10.06</v>
      </c>
      <c r="E93">
        <v>18.25</v>
      </c>
      <c r="F93">
        <v>9.4499999999999993</v>
      </c>
      <c r="G93">
        <v>12.8</v>
      </c>
      <c r="H93">
        <v>9.66</v>
      </c>
    </row>
    <row r="95" spans="1:8" x14ac:dyDescent="0.25">
      <c r="A95" t="s">
        <v>23</v>
      </c>
    </row>
  </sheetData>
  <hyperlinks>
    <hyperlink ref="H1" location="Contents!A1" display="Return to Contents" xr:uid="{9E5FF8BD-AB4F-4279-823E-4194EAF2AA5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BA09-20CD-4745-8276-E7440A7B949D}">
  <sheetPr codeName="Sheet14"/>
  <dimension ref="A1:M49"/>
  <sheetViews>
    <sheetView zoomScaleNormal="100" workbookViewId="0"/>
  </sheetViews>
  <sheetFormatPr defaultRowHeight="15" x14ac:dyDescent="0.25"/>
  <cols>
    <col min="1" max="1" width="32" customWidth="1"/>
  </cols>
  <sheetData>
    <row r="1" spans="1:12" x14ac:dyDescent="0.25">
      <c r="A1" s="1" t="s">
        <v>58</v>
      </c>
      <c r="L1" s="34" t="s">
        <v>17</v>
      </c>
    </row>
    <row r="2" spans="1:12" x14ac:dyDescent="0.25">
      <c r="B2" s="6">
        <v>2013</v>
      </c>
      <c r="C2" s="6">
        <v>2014</v>
      </c>
      <c r="D2" s="6">
        <v>2015</v>
      </c>
      <c r="E2" s="6">
        <v>2016</v>
      </c>
      <c r="F2" s="6">
        <v>2017</v>
      </c>
      <c r="G2" s="6">
        <v>2018</v>
      </c>
      <c r="H2" s="6">
        <v>2019</v>
      </c>
      <c r="I2" s="6">
        <v>2020</v>
      </c>
      <c r="J2" s="6">
        <v>2021</v>
      </c>
      <c r="K2" s="6">
        <v>2022</v>
      </c>
      <c r="L2" s="6">
        <v>2023</v>
      </c>
    </row>
    <row r="3" spans="1:12" x14ac:dyDescent="0.25">
      <c r="A3" s="60" t="s">
        <v>183</v>
      </c>
      <c r="B3" s="61"/>
      <c r="C3" s="61">
        <v>78.637669318417494</v>
      </c>
      <c r="D3" s="61"/>
      <c r="E3" s="61"/>
      <c r="F3" s="61"/>
      <c r="G3" s="61"/>
      <c r="H3" s="62">
        <v>44.409466519425699</v>
      </c>
      <c r="I3" s="62">
        <v>49.905383104806504</v>
      </c>
      <c r="J3" s="62">
        <v>51.896565276850801</v>
      </c>
      <c r="K3" s="62">
        <v>53.888454443506298</v>
      </c>
      <c r="L3" s="62">
        <v>55.524084421757202</v>
      </c>
    </row>
    <row r="4" spans="1:12" x14ac:dyDescent="0.25">
      <c r="A4" s="60" t="s">
        <v>184</v>
      </c>
      <c r="B4" s="61"/>
      <c r="C4" s="61"/>
      <c r="D4" s="61"/>
      <c r="E4" s="61"/>
      <c r="F4" s="61"/>
      <c r="G4" s="61"/>
      <c r="H4" s="62">
        <v>44.135962097894001</v>
      </c>
      <c r="I4" s="62">
        <v>45.834332539999998</v>
      </c>
      <c r="J4" s="62">
        <v>53.860399466735103</v>
      </c>
      <c r="K4" s="62">
        <v>60.666229468209799</v>
      </c>
      <c r="L4" s="62">
        <v>61.320574175689003</v>
      </c>
    </row>
    <row r="5" spans="1:12" x14ac:dyDescent="0.25">
      <c r="A5" s="60" t="s">
        <v>185</v>
      </c>
      <c r="B5" s="61"/>
      <c r="C5" s="61"/>
      <c r="D5" s="61"/>
      <c r="E5" s="61"/>
      <c r="F5" s="61"/>
      <c r="G5" s="61"/>
      <c r="H5" s="62">
        <v>84.780071070302</v>
      </c>
      <c r="I5" s="62">
        <v>84.849336170000001</v>
      </c>
      <c r="J5" s="62">
        <v>87.893086054202797</v>
      </c>
      <c r="K5" s="62">
        <v>89.508196521462295</v>
      </c>
      <c r="L5" s="62">
        <v>90.5773537488313</v>
      </c>
    </row>
    <row r="6" spans="1:12" x14ac:dyDescent="0.25">
      <c r="A6" s="60" t="s">
        <v>186</v>
      </c>
      <c r="B6" s="61"/>
      <c r="C6" s="61"/>
      <c r="D6" s="61"/>
      <c r="E6" s="61"/>
      <c r="F6" s="61"/>
      <c r="G6" s="61"/>
      <c r="H6" s="61">
        <v>52.412884337981197</v>
      </c>
      <c r="I6" s="62">
        <v>54.285683339999999</v>
      </c>
      <c r="J6" s="62">
        <v>53.698461934427698</v>
      </c>
      <c r="K6" s="62">
        <v>54.694926443929802</v>
      </c>
      <c r="L6" s="62">
        <v>55.854844821049099</v>
      </c>
    </row>
    <row r="7" spans="1:12" x14ac:dyDescent="0.25">
      <c r="A7" s="60" t="s">
        <v>187</v>
      </c>
      <c r="B7" s="61">
        <v>13.867830968263799</v>
      </c>
      <c r="C7" s="61">
        <v>11.4345125131914</v>
      </c>
      <c r="D7" s="61"/>
      <c r="E7" s="61"/>
      <c r="F7" s="61">
        <v>18.380798449158799</v>
      </c>
      <c r="G7" s="61"/>
      <c r="H7" s="62">
        <v>19.795001288890798</v>
      </c>
      <c r="I7" s="62">
        <v>20.542396858266301</v>
      </c>
      <c r="J7" s="62">
        <v>21.318011680016099</v>
      </c>
      <c r="K7" s="62">
        <v>22.040063513281801</v>
      </c>
      <c r="L7" s="62">
        <v>20.9531513622399</v>
      </c>
    </row>
    <row r="8" spans="1:12" x14ac:dyDescent="0.25">
      <c r="A8" s="60" t="s">
        <v>189</v>
      </c>
      <c r="B8" s="61"/>
      <c r="C8" s="61"/>
      <c r="D8" s="61">
        <v>71.035119486046298</v>
      </c>
      <c r="E8" s="61">
        <v>72.389994130584199</v>
      </c>
      <c r="F8" s="61">
        <v>74.205831255457198</v>
      </c>
      <c r="G8" s="61"/>
      <c r="H8" s="61">
        <v>71.676785539719205</v>
      </c>
      <c r="I8" s="62">
        <v>77.708189860000005</v>
      </c>
      <c r="J8" s="62">
        <v>81.056195762163796</v>
      </c>
      <c r="K8" s="62">
        <v>82.183950580287103</v>
      </c>
      <c r="L8" s="62">
        <v>84.163124839464501</v>
      </c>
    </row>
    <row r="9" spans="1:12" x14ac:dyDescent="0.25">
      <c r="A9" s="60" t="s">
        <v>188</v>
      </c>
      <c r="B9" s="61"/>
      <c r="C9" s="61">
        <v>75.3667922207473</v>
      </c>
      <c r="D9" s="61"/>
      <c r="E9" s="61"/>
      <c r="F9" s="61"/>
      <c r="G9" s="61"/>
      <c r="H9" s="62">
        <v>60.253189350875701</v>
      </c>
      <c r="I9" s="62">
        <v>63.732513835130497</v>
      </c>
      <c r="J9" s="62">
        <v>64.719996242280601</v>
      </c>
      <c r="K9" s="62">
        <v>64.359987834455197</v>
      </c>
      <c r="L9" s="62">
        <v>64.287761469106499</v>
      </c>
    </row>
    <row r="10" spans="1:12" x14ac:dyDescent="0.25">
      <c r="A10" s="60" t="s">
        <v>190</v>
      </c>
      <c r="B10" s="61"/>
      <c r="C10" s="61"/>
      <c r="D10" s="61"/>
      <c r="E10" s="61"/>
      <c r="F10" s="61"/>
      <c r="G10" s="61"/>
      <c r="H10" s="62">
        <v>34.542964361262001</v>
      </c>
      <c r="I10" s="61"/>
      <c r="J10" s="61"/>
      <c r="K10" s="61"/>
      <c r="L10" s="61"/>
    </row>
    <row r="11" spans="1:12" x14ac:dyDescent="0.25">
      <c r="A11" s="60" t="s">
        <v>191</v>
      </c>
      <c r="B11" s="61"/>
      <c r="C11" s="61"/>
      <c r="D11" s="61"/>
      <c r="E11" s="61"/>
      <c r="F11" s="61"/>
      <c r="G11" s="61"/>
      <c r="H11" s="61"/>
      <c r="I11" s="61"/>
      <c r="J11" s="61"/>
      <c r="K11" s="61"/>
      <c r="L11" s="61"/>
    </row>
    <row r="12" spans="1:12" x14ac:dyDescent="0.25">
      <c r="A12" s="60" t="s">
        <v>192</v>
      </c>
      <c r="B12" s="61"/>
      <c r="C12" s="61"/>
      <c r="D12" s="61"/>
      <c r="E12" s="61"/>
      <c r="F12" s="61"/>
      <c r="G12" s="61"/>
      <c r="H12" s="62">
        <v>40.321348642083599</v>
      </c>
      <c r="I12" s="62">
        <v>47.708308330000001</v>
      </c>
      <c r="J12" s="62">
        <v>52.580097862528902</v>
      </c>
      <c r="K12" s="62">
        <v>57.813862960358399</v>
      </c>
      <c r="L12" s="62">
        <v>58.890688858700599</v>
      </c>
    </row>
    <row r="13" spans="1:12" x14ac:dyDescent="0.25">
      <c r="A13" s="60" t="s">
        <v>193</v>
      </c>
      <c r="B13" s="61"/>
      <c r="C13" s="61"/>
      <c r="D13" s="61">
        <v>54.590454630854801</v>
      </c>
      <c r="E13" s="61">
        <v>59.840771643579998</v>
      </c>
      <c r="F13" s="61">
        <v>64.833668460899005</v>
      </c>
      <c r="G13" s="61">
        <v>66.426248740605999</v>
      </c>
      <c r="H13" s="61">
        <v>67.609725002631194</v>
      </c>
      <c r="I13" s="62">
        <v>65.369879190000006</v>
      </c>
      <c r="J13" s="62">
        <v>64.5710414476236</v>
      </c>
      <c r="K13" s="61">
        <v>63.103304433317497</v>
      </c>
      <c r="L13" s="61">
        <v>66.458848154833404</v>
      </c>
    </row>
    <row r="14" spans="1:12" x14ac:dyDescent="0.25">
      <c r="A14" s="60" t="s">
        <v>249</v>
      </c>
      <c r="B14" s="61"/>
      <c r="C14" s="61"/>
      <c r="D14" s="61"/>
      <c r="E14" s="61"/>
      <c r="F14" s="61"/>
      <c r="G14" s="61"/>
      <c r="H14" s="62">
        <v>33.527246287241901</v>
      </c>
      <c r="I14" s="62">
        <v>44.250679060000003</v>
      </c>
      <c r="J14" s="62">
        <v>45.693153642666999</v>
      </c>
      <c r="K14" s="62">
        <v>51.1732712469801</v>
      </c>
      <c r="L14" s="62">
        <v>55.037012954120101</v>
      </c>
    </row>
    <row r="15" spans="1:12" x14ac:dyDescent="0.25">
      <c r="A15" s="60" t="s">
        <v>194</v>
      </c>
      <c r="B15" s="61"/>
      <c r="C15" s="61"/>
      <c r="D15" s="61"/>
      <c r="E15" s="61"/>
      <c r="F15" s="61"/>
      <c r="G15" s="61"/>
      <c r="H15" s="62">
        <v>52.881957030291801</v>
      </c>
      <c r="I15" s="62">
        <v>57.365502569999997</v>
      </c>
      <c r="J15" s="62">
        <v>63.136849512646002</v>
      </c>
      <c r="K15" s="62">
        <v>64.164888995339297</v>
      </c>
      <c r="L15" s="62">
        <v>64.856970172760896</v>
      </c>
    </row>
    <row r="16" spans="1:12" x14ac:dyDescent="0.25">
      <c r="A16" s="60" t="s">
        <v>195</v>
      </c>
      <c r="B16" s="61"/>
      <c r="C16" s="61"/>
      <c r="D16" s="61"/>
      <c r="E16" s="61"/>
      <c r="F16" s="61"/>
      <c r="G16" s="61"/>
      <c r="H16" s="61"/>
      <c r="I16" s="61"/>
      <c r="J16" s="61"/>
      <c r="K16" s="61"/>
      <c r="L16" s="61"/>
    </row>
    <row r="17" spans="1:12" x14ac:dyDescent="0.25">
      <c r="A17" s="60" t="s">
        <v>196</v>
      </c>
      <c r="B17" s="61"/>
      <c r="C17" s="61"/>
      <c r="D17" s="61"/>
      <c r="E17" s="61"/>
      <c r="F17" s="61"/>
      <c r="G17" s="61"/>
      <c r="H17" s="62">
        <v>78.359559670973894</v>
      </c>
      <c r="I17" s="62">
        <v>78.4970134104735</v>
      </c>
      <c r="J17" s="62">
        <v>80.8436411755835</v>
      </c>
      <c r="K17" s="62">
        <v>83.280186925265198</v>
      </c>
      <c r="L17" s="62">
        <v>82.061267118985697</v>
      </c>
    </row>
    <row r="18" spans="1:12" x14ac:dyDescent="0.25">
      <c r="A18" s="60" t="s">
        <v>197</v>
      </c>
      <c r="B18" s="61"/>
      <c r="C18" s="61"/>
      <c r="D18" s="61">
        <v>50</v>
      </c>
      <c r="E18" s="61">
        <v>58.292352043411903</v>
      </c>
      <c r="F18" s="61"/>
      <c r="G18" s="61"/>
      <c r="H18" s="62">
        <v>44.608299874113499</v>
      </c>
      <c r="I18" s="62">
        <v>44.708942594893003</v>
      </c>
      <c r="J18" s="62">
        <v>45.17733238572</v>
      </c>
      <c r="K18" s="61"/>
      <c r="L18" s="61"/>
    </row>
    <row r="19" spans="1:12" x14ac:dyDescent="0.25">
      <c r="A19" s="60" t="s">
        <v>198</v>
      </c>
      <c r="B19" s="61"/>
      <c r="C19" s="61"/>
      <c r="D19" s="61"/>
      <c r="E19" s="61"/>
      <c r="F19" s="61"/>
      <c r="G19" s="61"/>
      <c r="H19" s="62">
        <v>81.777317971343194</v>
      </c>
      <c r="I19" s="62">
        <v>81.557246800000001</v>
      </c>
      <c r="J19" s="62">
        <v>82.136199688620195</v>
      </c>
      <c r="K19" s="62">
        <v>85.881908267722594</v>
      </c>
      <c r="L19" s="62">
        <v>87.056886618584599</v>
      </c>
    </row>
    <row r="20" spans="1:12" x14ac:dyDescent="0.25">
      <c r="A20" s="60" t="s">
        <v>199</v>
      </c>
      <c r="B20" s="61"/>
      <c r="C20" s="61"/>
      <c r="D20" s="61"/>
      <c r="E20" s="61"/>
      <c r="F20" s="61"/>
      <c r="G20" s="61"/>
      <c r="H20" s="62">
        <v>55.798628157307398</v>
      </c>
      <c r="I20" s="62">
        <v>61.584178319999999</v>
      </c>
      <c r="J20" s="62">
        <v>65.816770607860207</v>
      </c>
      <c r="K20" s="62">
        <v>68.918323351622604</v>
      </c>
      <c r="L20" s="62">
        <v>69.824863203527201</v>
      </c>
    </row>
    <row r="21" spans="1:12" x14ac:dyDescent="0.25">
      <c r="A21" s="60" t="s">
        <v>200</v>
      </c>
      <c r="B21" s="61"/>
      <c r="C21" s="61"/>
      <c r="D21" s="61"/>
      <c r="E21" s="61"/>
      <c r="F21" s="61"/>
      <c r="G21" s="61"/>
      <c r="H21" s="61">
        <v>54.1</v>
      </c>
      <c r="I21" s="62">
        <v>61.450630590000003</v>
      </c>
      <c r="J21" s="61">
        <v>69.8</v>
      </c>
      <c r="K21" s="62">
        <v>70.543743016123699</v>
      </c>
      <c r="L21" s="62">
        <v>74.010559776531593</v>
      </c>
    </row>
    <row r="22" spans="1:12" x14ac:dyDescent="0.25">
      <c r="A22" s="60" t="s">
        <v>201</v>
      </c>
      <c r="B22" s="61"/>
      <c r="C22" s="61"/>
      <c r="D22" s="61"/>
      <c r="E22" s="61"/>
      <c r="F22" s="61"/>
      <c r="G22" s="61">
        <v>76.753858671004906</v>
      </c>
      <c r="H22" s="62">
        <v>77.584895324368006</v>
      </c>
      <c r="I22" s="62">
        <v>78.424929856550406</v>
      </c>
      <c r="J22" s="62">
        <v>79.274059690238502</v>
      </c>
      <c r="K22" s="62">
        <v>80.132383302942699</v>
      </c>
      <c r="L22" s="61">
        <v>81.000000238418593</v>
      </c>
    </row>
    <row r="23" spans="1:12" x14ac:dyDescent="0.25">
      <c r="A23" s="60" t="s">
        <v>202</v>
      </c>
      <c r="B23" s="61"/>
      <c r="C23" s="61"/>
      <c r="D23" s="61"/>
      <c r="E23" s="61"/>
      <c r="F23" s="61"/>
      <c r="G23" s="61"/>
      <c r="H23" s="62">
        <v>50.438234271602099</v>
      </c>
      <c r="I23" s="62">
        <v>50.595150749029699</v>
      </c>
      <c r="J23" s="62">
        <v>57.998189390427399</v>
      </c>
      <c r="K23" s="62">
        <v>60.800682666317797</v>
      </c>
      <c r="L23" s="62">
        <v>64.020074755523098</v>
      </c>
    </row>
    <row r="24" spans="1:12" x14ac:dyDescent="0.25">
      <c r="A24" s="60" t="s">
        <v>203</v>
      </c>
      <c r="B24" s="61"/>
      <c r="C24" s="61"/>
      <c r="D24" s="61">
        <v>44.823501069979798</v>
      </c>
      <c r="E24" s="61">
        <v>44.8</v>
      </c>
      <c r="F24" s="61"/>
      <c r="G24" s="61"/>
      <c r="H24" s="61">
        <v>47.322063982278998</v>
      </c>
      <c r="I24" s="61"/>
      <c r="J24" s="61"/>
      <c r="K24" s="61"/>
      <c r="L24" s="61">
        <v>53.7</v>
      </c>
    </row>
    <row r="25" spans="1:12" x14ac:dyDescent="0.25">
      <c r="A25" s="60" t="s">
        <v>204</v>
      </c>
      <c r="B25" s="61"/>
      <c r="C25" s="61"/>
      <c r="D25" s="61"/>
      <c r="E25" s="61">
        <v>78.653238617544204</v>
      </c>
      <c r="F25" s="61"/>
      <c r="G25" s="61"/>
      <c r="H25" s="61">
        <v>81.688119066325001</v>
      </c>
      <c r="I25" s="61"/>
      <c r="J25" s="62">
        <v>69.268038818786906</v>
      </c>
      <c r="K25" s="62">
        <v>71.621879781428504</v>
      </c>
      <c r="L25" s="62">
        <v>71.182941017723806</v>
      </c>
    </row>
    <row r="26" spans="1:12" x14ac:dyDescent="0.25">
      <c r="A26" s="60" t="s">
        <v>205</v>
      </c>
      <c r="B26" s="61"/>
      <c r="C26" s="61"/>
      <c r="D26" s="61"/>
      <c r="E26" s="61"/>
      <c r="F26" s="61"/>
      <c r="G26" s="61"/>
      <c r="H26" s="62">
        <v>47.565075892332104</v>
      </c>
      <c r="I26" s="62">
        <v>56.613684592486599</v>
      </c>
      <c r="J26" s="62">
        <v>57.573553717463</v>
      </c>
      <c r="K26" s="62">
        <v>58.211602518250302</v>
      </c>
      <c r="L26" s="62">
        <v>58.985903598063899</v>
      </c>
    </row>
    <row r="27" spans="1:12" x14ac:dyDescent="0.25">
      <c r="A27" s="60" t="s">
        <v>206</v>
      </c>
      <c r="B27" s="61"/>
      <c r="C27" s="61"/>
      <c r="D27" s="61"/>
      <c r="E27" s="61"/>
      <c r="F27" s="61"/>
      <c r="G27" s="61"/>
      <c r="H27" s="62">
        <v>36.754894795970799</v>
      </c>
      <c r="I27" s="62">
        <v>35.610802530000001</v>
      </c>
      <c r="J27" s="62">
        <v>38.849558982156402</v>
      </c>
      <c r="K27" s="62">
        <v>41.393564817738401</v>
      </c>
      <c r="L27" s="62">
        <v>42.427508022953297</v>
      </c>
    </row>
    <row r="28" spans="1:12" x14ac:dyDescent="0.25">
      <c r="A28" s="60" t="s">
        <v>207</v>
      </c>
      <c r="B28" s="61"/>
      <c r="C28" s="61"/>
      <c r="D28" s="61"/>
      <c r="E28" s="61">
        <v>42.403190229863398</v>
      </c>
      <c r="F28" s="61"/>
      <c r="G28" s="61"/>
      <c r="H28" s="62">
        <v>43.775754638385799</v>
      </c>
      <c r="I28" s="62">
        <v>45.705435094673199</v>
      </c>
      <c r="J28" s="62">
        <v>52.295534668775097</v>
      </c>
      <c r="K28" s="62">
        <v>53.501847881527198</v>
      </c>
      <c r="L28" s="61">
        <v>56.614317930423603</v>
      </c>
    </row>
    <row r="29" spans="1:12" x14ac:dyDescent="0.25">
      <c r="A29" s="60" t="s">
        <v>208</v>
      </c>
      <c r="B29" s="61"/>
      <c r="C29" s="61"/>
      <c r="D29" s="61"/>
      <c r="E29" s="61"/>
      <c r="F29" s="61"/>
      <c r="G29" s="61"/>
      <c r="H29" s="62">
        <v>51.81</v>
      </c>
      <c r="I29" s="62">
        <v>60.71692007</v>
      </c>
      <c r="J29" s="62">
        <v>66.448157632062106</v>
      </c>
      <c r="K29" s="62">
        <v>72.040951006671193</v>
      </c>
      <c r="L29" s="62">
        <v>73.160674032352304</v>
      </c>
    </row>
    <row r="30" spans="1:12" x14ac:dyDescent="0.25">
      <c r="A30" s="60" t="s">
        <v>209</v>
      </c>
      <c r="B30" s="61"/>
      <c r="C30" s="61"/>
      <c r="D30" s="61"/>
      <c r="E30" s="61"/>
      <c r="F30" s="61">
        <v>75.712057729507094</v>
      </c>
      <c r="G30" s="61">
        <v>76.896103377729403</v>
      </c>
      <c r="H30" s="61">
        <v>78.140508261983996</v>
      </c>
      <c r="I30" s="61">
        <v>82.878277260524399</v>
      </c>
      <c r="J30" s="61">
        <v>84.5</v>
      </c>
      <c r="K30" s="61">
        <v>87</v>
      </c>
      <c r="L30" s="62">
        <v>89.6</v>
      </c>
    </row>
    <row r="31" spans="1:12" x14ac:dyDescent="0.25">
      <c r="A31" s="60" t="s">
        <v>210</v>
      </c>
      <c r="B31" s="61"/>
      <c r="C31" s="61"/>
      <c r="D31" s="61"/>
      <c r="E31" s="61"/>
      <c r="F31" s="61">
        <v>31.357032683643499</v>
      </c>
      <c r="G31" s="61"/>
      <c r="H31" s="62">
        <v>44.985095447355697</v>
      </c>
      <c r="I31" s="62">
        <v>53.880980486096703</v>
      </c>
      <c r="J31" s="62">
        <v>64.536043088773596</v>
      </c>
      <c r="K31" s="61">
        <v>77.298163841519894</v>
      </c>
      <c r="L31" s="62">
        <v>78.221474708516297</v>
      </c>
    </row>
    <row r="32" spans="1:12" x14ac:dyDescent="0.25">
      <c r="A32" s="60" t="s">
        <v>211</v>
      </c>
      <c r="B32" s="61"/>
      <c r="C32" s="61"/>
      <c r="D32" s="61"/>
      <c r="E32" s="61"/>
      <c r="F32" s="61"/>
      <c r="G32" s="61"/>
      <c r="H32" s="62">
        <v>72.433431161240904</v>
      </c>
      <c r="I32" s="62">
        <v>71.940465837283</v>
      </c>
      <c r="J32" s="62">
        <v>75.318697877602204</v>
      </c>
      <c r="K32" s="62">
        <v>77.036527288971797</v>
      </c>
      <c r="L32" s="62">
        <v>82.236218027540005</v>
      </c>
    </row>
    <row r="33" spans="1:13" x14ac:dyDescent="0.25">
      <c r="A33" s="60" t="s">
        <v>212</v>
      </c>
      <c r="B33" s="61"/>
      <c r="C33" s="61"/>
      <c r="D33" s="61"/>
      <c r="E33" s="61"/>
      <c r="F33" s="61">
        <v>65.159808960666595</v>
      </c>
      <c r="G33" s="61">
        <v>41.858207085061302</v>
      </c>
      <c r="H33" s="62">
        <v>53.923554227195297</v>
      </c>
      <c r="I33" s="62">
        <v>57.317330041857097</v>
      </c>
      <c r="J33" s="62">
        <v>60.924699237839</v>
      </c>
      <c r="K33" s="61">
        <v>63.239776653415397</v>
      </c>
      <c r="L33" s="62">
        <v>64.222704183775306</v>
      </c>
    </row>
    <row r="34" spans="1:13" x14ac:dyDescent="0.25">
      <c r="A34" s="60" t="s">
        <v>213</v>
      </c>
      <c r="B34" s="61"/>
      <c r="C34" s="61"/>
      <c r="D34" s="61"/>
      <c r="E34" s="61"/>
      <c r="F34" s="61">
        <v>40.698522431517702</v>
      </c>
      <c r="G34" s="61"/>
      <c r="H34" s="62">
        <v>62.572890743117703</v>
      </c>
      <c r="I34" s="62">
        <v>67.3057552803958</v>
      </c>
      <c r="J34" s="62">
        <v>71.395794689423496</v>
      </c>
      <c r="K34" s="62">
        <v>72.470892560869601</v>
      </c>
      <c r="L34" s="62">
        <v>72.731580640871002</v>
      </c>
    </row>
    <row r="35" spans="1:13" x14ac:dyDescent="0.25">
      <c r="A35" s="60" t="s">
        <v>214</v>
      </c>
      <c r="B35" s="61"/>
      <c r="C35" s="61"/>
      <c r="D35" s="61"/>
      <c r="E35" s="61"/>
      <c r="F35" s="61">
        <v>36.700000000000003</v>
      </c>
      <c r="G35" s="61"/>
      <c r="H35" s="62">
        <v>40.18</v>
      </c>
      <c r="I35" s="61">
        <v>41.2</v>
      </c>
      <c r="J35" s="62">
        <v>48.826501920730998</v>
      </c>
      <c r="K35" s="62">
        <v>50.879316697588401</v>
      </c>
      <c r="L35" s="62">
        <v>56.178866354407504</v>
      </c>
    </row>
    <row r="36" spans="1:13" x14ac:dyDescent="0.25">
      <c r="A36" s="60" t="s">
        <v>215</v>
      </c>
      <c r="B36" s="61"/>
      <c r="C36" s="61"/>
      <c r="D36" s="61"/>
      <c r="E36" s="61"/>
      <c r="F36" s="61"/>
      <c r="G36" s="61"/>
      <c r="H36" s="62">
        <v>68.233944822867599</v>
      </c>
      <c r="I36" s="62">
        <v>70.810239075004901</v>
      </c>
      <c r="J36" s="62">
        <v>73.483805910323895</v>
      </c>
      <c r="K36" s="62">
        <v>74.769767474536906</v>
      </c>
      <c r="L36" s="62">
        <v>75.282908808354804</v>
      </c>
    </row>
    <row r="37" spans="1:13" x14ac:dyDescent="0.25">
      <c r="A37" s="60" t="s">
        <v>216</v>
      </c>
      <c r="B37" s="61"/>
      <c r="C37" s="61"/>
      <c r="D37" s="61"/>
      <c r="E37" s="61"/>
      <c r="F37" s="61"/>
      <c r="G37" s="61"/>
      <c r="H37" s="62">
        <v>70.523305681269903</v>
      </c>
      <c r="I37" s="62">
        <v>75.3805046419494</v>
      </c>
      <c r="J37" s="62">
        <v>76.422517541804694</v>
      </c>
      <c r="K37" s="62">
        <v>77.260037842093695</v>
      </c>
      <c r="L37" s="62">
        <v>79.372673531959293</v>
      </c>
    </row>
    <row r="38" spans="1:13" x14ac:dyDescent="0.25">
      <c r="A38" s="60" t="s">
        <v>217</v>
      </c>
      <c r="B38" s="61"/>
      <c r="C38" s="61"/>
      <c r="D38" s="61"/>
      <c r="E38" s="61"/>
      <c r="F38" s="61"/>
      <c r="G38" s="61"/>
      <c r="H38" s="62">
        <v>92.52</v>
      </c>
      <c r="I38" s="62">
        <v>91.948749390000003</v>
      </c>
      <c r="J38" s="62">
        <v>93.255052151623502</v>
      </c>
      <c r="K38" s="62">
        <v>93.714706523067207</v>
      </c>
      <c r="L38" s="62">
        <v>93.605916691225403</v>
      </c>
    </row>
    <row r="39" spans="1:13" x14ac:dyDescent="0.25">
      <c r="A39" s="60" t="s">
        <v>218</v>
      </c>
      <c r="B39" s="61"/>
      <c r="C39" s="61"/>
      <c r="D39" s="61"/>
      <c r="E39" s="61"/>
      <c r="F39" s="61"/>
      <c r="G39" s="61"/>
      <c r="H39" s="62">
        <v>44.426652052377499</v>
      </c>
      <c r="I39" s="62">
        <v>46.352486155302699</v>
      </c>
      <c r="J39" s="62">
        <v>46.439711165555799</v>
      </c>
      <c r="K39" s="62">
        <v>46.810722227078699</v>
      </c>
      <c r="L39" s="62">
        <v>47.718354464979598</v>
      </c>
    </row>
    <row r="40" spans="1:13" x14ac:dyDescent="0.25">
      <c r="A40" s="60" t="s">
        <v>219</v>
      </c>
      <c r="B40" s="61"/>
      <c r="C40" s="61"/>
      <c r="D40" s="61">
        <v>98.437896737436205</v>
      </c>
      <c r="E40" s="61">
        <v>53.708412846184302</v>
      </c>
      <c r="F40" s="61">
        <v>59.617524151856898</v>
      </c>
      <c r="G40" s="61">
        <v>79.561014499387497</v>
      </c>
      <c r="H40" s="61">
        <v>78.142373503423499</v>
      </c>
      <c r="I40" s="62">
        <v>83.366566465975893</v>
      </c>
      <c r="J40" s="62">
        <v>88.940021818271106</v>
      </c>
      <c r="K40" s="62">
        <v>89.252165653272101</v>
      </c>
      <c r="L40" s="62">
        <v>89.380329861247503</v>
      </c>
    </row>
    <row r="41" spans="1:13" x14ac:dyDescent="0.25">
      <c r="A41" s="60" t="s">
        <v>220</v>
      </c>
      <c r="B41" s="61"/>
      <c r="C41" s="61"/>
      <c r="D41" s="61"/>
      <c r="E41" s="61"/>
      <c r="F41" s="61"/>
      <c r="G41" s="61"/>
      <c r="H41" s="61"/>
      <c r="I41" s="61"/>
      <c r="J41" s="61"/>
      <c r="K41" s="61"/>
      <c r="L41" s="61"/>
    </row>
    <row r="42" spans="1:13" x14ac:dyDescent="0.25">
      <c r="A42" s="60" t="s">
        <v>221</v>
      </c>
      <c r="B42" s="61"/>
      <c r="C42" s="61"/>
      <c r="D42" s="61"/>
      <c r="E42" s="61">
        <v>60.503345964685998</v>
      </c>
      <c r="F42" s="61"/>
      <c r="G42" s="61"/>
      <c r="H42" s="62">
        <v>72.361987019260894</v>
      </c>
      <c r="I42" s="62">
        <v>72.431235407185497</v>
      </c>
      <c r="J42" s="61"/>
      <c r="K42" s="61">
        <v>82.5</v>
      </c>
      <c r="L42" s="61"/>
    </row>
    <row r="43" spans="1:13" x14ac:dyDescent="0.25">
      <c r="A43" s="60" t="s">
        <v>222</v>
      </c>
      <c r="B43" s="61"/>
      <c r="C43" s="61"/>
      <c r="D43" s="61"/>
      <c r="E43" s="61"/>
      <c r="F43" s="61">
        <v>43.916580882894202</v>
      </c>
      <c r="G43" s="61"/>
      <c r="H43" s="62">
        <v>49.489300745798303</v>
      </c>
      <c r="I43" s="62">
        <v>53.806714054880899</v>
      </c>
      <c r="J43" s="62">
        <v>56.374806626234999</v>
      </c>
      <c r="K43" s="62">
        <v>57.785244736781102</v>
      </c>
      <c r="L43" s="62">
        <v>59.8756643218953</v>
      </c>
    </row>
    <row r="44" spans="1:13" x14ac:dyDescent="0.25">
      <c r="A44" s="60" t="s">
        <v>223</v>
      </c>
      <c r="B44" s="61"/>
      <c r="C44" s="61"/>
      <c r="D44" s="61"/>
      <c r="E44" s="61"/>
      <c r="F44" s="61"/>
      <c r="G44" s="61"/>
      <c r="H44" s="62">
        <v>60.809702992447001</v>
      </c>
      <c r="I44" s="62">
        <v>63.396514172778801</v>
      </c>
      <c r="J44" s="61">
        <v>65</v>
      </c>
      <c r="K44" s="62">
        <v>65.790300862624804</v>
      </c>
      <c r="L44" s="62">
        <v>67.4425939631099</v>
      </c>
    </row>
    <row r="45" spans="1:13" x14ac:dyDescent="0.25">
      <c r="A45" s="60" t="s">
        <v>224</v>
      </c>
      <c r="B45" s="61"/>
      <c r="C45" s="61"/>
      <c r="D45" s="61"/>
      <c r="E45" s="61"/>
      <c r="F45" s="61"/>
      <c r="G45" s="61">
        <v>44.619000889985998</v>
      </c>
      <c r="H45" s="62">
        <v>50.604089306858</v>
      </c>
      <c r="I45" s="62">
        <v>53.333621161459199</v>
      </c>
      <c r="J45" s="62">
        <v>55.675274026568303</v>
      </c>
      <c r="K45" s="62">
        <v>59.686530158416303</v>
      </c>
      <c r="L45" s="62">
        <v>62.768969083960101</v>
      </c>
    </row>
    <row r="46" spans="1:13" x14ac:dyDescent="0.25">
      <c r="A46" s="60" t="s">
        <v>225</v>
      </c>
      <c r="B46" s="61"/>
      <c r="C46" s="61"/>
      <c r="D46" s="61"/>
      <c r="E46" s="61"/>
      <c r="F46" s="61"/>
      <c r="G46" s="61"/>
      <c r="H46" s="62">
        <v>45.814409674537998</v>
      </c>
      <c r="I46" s="61">
        <v>47.036401882758902</v>
      </c>
      <c r="J46" s="62">
        <v>54.516232205840403</v>
      </c>
      <c r="K46" s="62">
        <v>58.363756907760703</v>
      </c>
      <c r="L46" s="62">
        <v>60.685387657950798</v>
      </c>
    </row>
    <row r="47" spans="1:13" x14ac:dyDescent="0.25">
      <c r="B47" s="3"/>
      <c r="C47" s="3"/>
      <c r="D47" s="3"/>
      <c r="E47" s="3"/>
      <c r="F47" s="3"/>
      <c r="G47" s="3"/>
      <c r="H47" s="3"/>
      <c r="I47" s="3"/>
      <c r="J47" s="3"/>
      <c r="K47" s="3"/>
      <c r="L47" s="3"/>
      <c r="M47" s="3"/>
    </row>
    <row r="48" spans="1:13" x14ac:dyDescent="0.25">
      <c r="A48" s="2" t="s">
        <v>137</v>
      </c>
      <c r="B48" s="3"/>
      <c r="C48" s="3"/>
      <c r="D48" s="3"/>
      <c r="E48" s="3"/>
      <c r="F48" s="3"/>
      <c r="G48" s="3"/>
      <c r="H48" s="3"/>
      <c r="I48" s="3"/>
      <c r="J48" s="3"/>
      <c r="K48" s="3"/>
      <c r="L48" s="3"/>
      <c r="M48" s="3"/>
    </row>
    <row r="49" spans="1:1" x14ac:dyDescent="0.25">
      <c r="A49" t="s">
        <v>23</v>
      </c>
    </row>
  </sheetData>
  <conditionalFormatting sqref="A3:L46">
    <cfRule type="containsText" dxfId="2" priority="1" stopIfTrue="1" operator="containsText" text="ITU estim">
      <formula>NOT(ISERROR(SEARCH("ITU estim",A3)))</formula>
    </cfRule>
    <cfRule type="containsText" dxfId="1" priority="2" stopIfTrue="1" operator="containsText" text="not publi">
      <formula>NOT(ISERROR(SEARCH("not publi",A3)))</formula>
    </cfRule>
  </conditionalFormatting>
  <conditionalFormatting sqref="B47:M48">
    <cfRule type="containsText" dxfId="0" priority="10" operator="containsText" text="ITU est">
      <formula>NOT(ISERROR(SEARCH("ITU est",B47)))</formula>
    </cfRule>
  </conditionalFormatting>
  <hyperlinks>
    <hyperlink ref="L1" location="Contents!A1" display="Return to Contents" xr:uid="{A778A545-8229-4FD1-9F6A-9386FA9118BC}"/>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80DA-1AB8-4B14-8FFD-E48F12959D4B}">
  <sheetPr codeName="Sheet15"/>
  <dimension ref="A1:M96"/>
  <sheetViews>
    <sheetView zoomScaleNormal="100" workbookViewId="0"/>
  </sheetViews>
  <sheetFormatPr defaultRowHeight="15" x14ac:dyDescent="0.25"/>
  <cols>
    <col min="1" max="1" width="25.140625" customWidth="1"/>
  </cols>
  <sheetData>
    <row r="1" spans="1:12" x14ac:dyDescent="0.25">
      <c r="A1" s="1" t="s">
        <v>59</v>
      </c>
      <c r="L1" s="44" t="s">
        <v>17</v>
      </c>
    </row>
    <row r="2" spans="1:12" x14ac:dyDescent="0.25">
      <c r="A2" s="5"/>
      <c r="B2" s="5" t="s">
        <v>28</v>
      </c>
      <c r="C2" s="5"/>
      <c r="D2" s="5"/>
      <c r="E2" s="5"/>
      <c r="F2" s="5"/>
      <c r="G2" s="5"/>
      <c r="H2" s="5"/>
      <c r="I2" s="5"/>
      <c r="J2" s="5"/>
      <c r="K2" s="5"/>
      <c r="L2" s="5"/>
    </row>
    <row r="3" spans="1:12" x14ac:dyDescent="0.25">
      <c r="A3" s="6"/>
      <c r="B3" s="6">
        <v>2013</v>
      </c>
      <c r="C3" s="6">
        <v>2014</v>
      </c>
      <c r="D3" s="6">
        <v>2015</v>
      </c>
      <c r="E3" s="6">
        <v>2016</v>
      </c>
      <c r="F3" s="6">
        <v>2017</v>
      </c>
      <c r="G3" s="6">
        <v>2018</v>
      </c>
      <c r="H3" s="6">
        <v>2019</v>
      </c>
      <c r="I3" s="6">
        <v>2020</v>
      </c>
      <c r="J3" s="6">
        <v>2021</v>
      </c>
      <c r="K3" s="6">
        <v>2022</v>
      </c>
      <c r="L3" s="6">
        <v>2023</v>
      </c>
    </row>
    <row r="4" spans="1:12" x14ac:dyDescent="0.25">
      <c r="A4" s="3" t="s">
        <v>183</v>
      </c>
      <c r="B4" s="3"/>
      <c r="C4" s="3">
        <v>79.802682949027798</v>
      </c>
      <c r="D4" s="3"/>
      <c r="E4" s="3"/>
      <c r="F4" s="3"/>
      <c r="G4" s="3"/>
      <c r="H4" s="3"/>
      <c r="I4" s="3"/>
      <c r="J4" s="3"/>
      <c r="K4" s="3"/>
      <c r="L4" s="3"/>
    </row>
    <row r="5" spans="1:12" x14ac:dyDescent="0.25">
      <c r="A5" s="3" t="s">
        <v>184</v>
      </c>
      <c r="B5" s="3"/>
      <c r="C5" s="3"/>
      <c r="D5" s="3"/>
      <c r="E5" s="3"/>
      <c r="F5" s="3"/>
      <c r="G5" s="3"/>
      <c r="H5" s="3"/>
      <c r="I5" s="3"/>
      <c r="J5" s="3"/>
      <c r="K5" s="3"/>
      <c r="L5" s="3"/>
    </row>
    <row r="6" spans="1:12" x14ac:dyDescent="0.25">
      <c r="A6" s="3" t="s">
        <v>185</v>
      </c>
      <c r="B6" s="3"/>
      <c r="C6" s="3"/>
      <c r="D6" s="3"/>
      <c r="E6" s="3"/>
      <c r="F6" s="3"/>
      <c r="G6" s="3"/>
      <c r="H6" s="3"/>
      <c r="I6" s="3"/>
      <c r="J6" s="3"/>
      <c r="K6" s="3"/>
      <c r="L6" s="3"/>
    </row>
    <row r="7" spans="1:12" x14ac:dyDescent="0.25">
      <c r="A7" s="3" t="s">
        <v>186</v>
      </c>
      <c r="B7" s="3"/>
      <c r="C7" s="3"/>
      <c r="D7" s="3"/>
      <c r="E7" s="3"/>
      <c r="F7" s="3"/>
      <c r="G7" s="3"/>
      <c r="H7" s="3">
        <v>44.915736941020803</v>
      </c>
      <c r="I7" s="3"/>
      <c r="J7" s="3"/>
      <c r="K7" s="3"/>
      <c r="L7" s="3"/>
    </row>
    <row r="8" spans="1:12" x14ac:dyDescent="0.25">
      <c r="A8" s="3" t="s">
        <v>187</v>
      </c>
      <c r="B8" s="3">
        <v>8.7391659236499493</v>
      </c>
      <c r="C8" s="3">
        <v>7.2654682883520598</v>
      </c>
      <c r="D8" s="3"/>
      <c r="E8" s="3"/>
      <c r="F8" s="3">
        <v>11.874383581256801</v>
      </c>
      <c r="G8" s="3"/>
      <c r="H8" s="3"/>
      <c r="I8" s="3"/>
      <c r="J8" s="3"/>
      <c r="K8" s="3"/>
      <c r="L8" s="3"/>
    </row>
    <row r="9" spans="1:12" x14ac:dyDescent="0.25">
      <c r="A9" s="3" t="s">
        <v>189</v>
      </c>
      <c r="B9" s="3"/>
      <c r="C9" s="3"/>
      <c r="D9" s="3">
        <v>68.459368716478096</v>
      </c>
      <c r="E9" s="3">
        <v>71.192087501643201</v>
      </c>
      <c r="F9" s="3">
        <v>73.750679283754195</v>
      </c>
      <c r="G9" s="3"/>
      <c r="H9" s="3">
        <v>70.826318674649102</v>
      </c>
      <c r="I9" s="3"/>
      <c r="J9" s="3"/>
      <c r="K9" s="3"/>
      <c r="L9" s="3"/>
    </row>
    <row r="10" spans="1:12" x14ac:dyDescent="0.25">
      <c r="A10" s="3" t="s">
        <v>188</v>
      </c>
      <c r="B10" s="3"/>
      <c r="C10" s="3"/>
      <c r="D10" s="3"/>
      <c r="E10" s="3"/>
      <c r="F10" s="3"/>
      <c r="G10" s="3"/>
      <c r="H10" s="3"/>
      <c r="I10" s="3"/>
      <c r="J10" s="3"/>
      <c r="K10" s="3"/>
      <c r="L10" s="3"/>
    </row>
    <row r="11" spans="1:12" x14ac:dyDescent="0.25">
      <c r="A11" s="3" t="s">
        <v>190</v>
      </c>
      <c r="B11" s="3"/>
      <c r="C11" s="3"/>
      <c r="D11" s="3"/>
      <c r="E11" s="3"/>
      <c r="F11" s="3"/>
      <c r="G11" s="3"/>
      <c r="H11" s="3"/>
      <c r="I11" s="3"/>
      <c r="J11" s="3"/>
      <c r="K11" s="3"/>
      <c r="L11" s="3"/>
    </row>
    <row r="12" spans="1:12" x14ac:dyDescent="0.25">
      <c r="A12" s="3" t="s">
        <v>191</v>
      </c>
      <c r="B12" s="3"/>
      <c r="C12" s="3"/>
      <c r="D12" s="3"/>
      <c r="E12" s="3"/>
      <c r="F12" s="3"/>
      <c r="G12" s="3"/>
      <c r="H12" s="3"/>
      <c r="I12" s="3"/>
      <c r="J12" s="3"/>
      <c r="K12" s="3"/>
      <c r="L12" s="3"/>
    </row>
    <row r="13" spans="1:12" x14ac:dyDescent="0.25">
      <c r="A13" s="3" t="s">
        <v>192</v>
      </c>
      <c r="B13" s="3"/>
      <c r="C13" s="3"/>
      <c r="D13" s="3"/>
      <c r="E13" s="3"/>
      <c r="F13" s="3"/>
      <c r="G13" s="3"/>
      <c r="H13" s="3"/>
      <c r="I13" s="3"/>
      <c r="J13" s="3"/>
      <c r="K13" s="3"/>
      <c r="L13" s="3"/>
    </row>
    <row r="14" spans="1:12" x14ac:dyDescent="0.25">
      <c r="A14" s="3" t="s">
        <v>193</v>
      </c>
      <c r="B14" s="3"/>
      <c r="C14" s="3"/>
      <c r="D14" s="3"/>
      <c r="E14" s="3"/>
      <c r="F14" s="3">
        <v>47.1917271020044</v>
      </c>
      <c r="G14" s="3">
        <v>57.558764462535798</v>
      </c>
      <c r="H14" s="3">
        <v>64.336450533677294</v>
      </c>
      <c r="I14" s="3"/>
      <c r="J14" s="3"/>
      <c r="K14" s="3">
        <v>60.817788918779002</v>
      </c>
      <c r="L14" s="3">
        <v>64.114245388738894</v>
      </c>
    </row>
    <row r="15" spans="1:12" x14ac:dyDescent="0.25">
      <c r="A15" s="3" t="s">
        <v>249</v>
      </c>
      <c r="B15" s="3"/>
      <c r="C15" s="3"/>
      <c r="D15" s="3"/>
      <c r="E15" s="3"/>
      <c r="F15" s="3"/>
      <c r="G15" s="3"/>
      <c r="H15" s="3"/>
      <c r="I15" s="3"/>
      <c r="J15" s="3"/>
      <c r="K15" s="3"/>
      <c r="L15" s="3"/>
    </row>
    <row r="16" spans="1:12" x14ac:dyDescent="0.25">
      <c r="A16" s="3" t="s">
        <v>194</v>
      </c>
      <c r="B16" s="3"/>
      <c r="C16" s="3"/>
      <c r="D16" s="3"/>
      <c r="E16" s="3"/>
      <c r="F16" s="3"/>
      <c r="G16" s="3"/>
      <c r="H16" s="3"/>
      <c r="I16" s="3"/>
      <c r="J16" s="3"/>
      <c r="K16" s="3"/>
      <c r="L16" s="3"/>
    </row>
    <row r="17" spans="1:12" x14ac:dyDescent="0.25">
      <c r="A17" s="3" t="s">
        <v>195</v>
      </c>
      <c r="B17" s="3"/>
      <c r="C17" s="3"/>
      <c r="D17" s="3"/>
      <c r="E17" s="3"/>
      <c r="F17" s="3"/>
      <c r="G17" s="3"/>
      <c r="H17" s="3"/>
      <c r="I17" s="3"/>
      <c r="J17" s="3"/>
      <c r="K17" s="3"/>
      <c r="L17" s="3"/>
    </row>
    <row r="18" spans="1:12" x14ac:dyDescent="0.25">
      <c r="A18" s="3" t="s">
        <v>196</v>
      </c>
      <c r="B18" s="3"/>
      <c r="C18" s="3"/>
      <c r="D18" s="3"/>
      <c r="E18" s="3"/>
      <c r="F18" s="3"/>
      <c r="G18" s="3"/>
      <c r="H18" s="3"/>
      <c r="I18" s="3"/>
      <c r="J18" s="3"/>
      <c r="K18" s="3"/>
      <c r="L18" s="3"/>
    </row>
    <row r="19" spans="1:12" x14ac:dyDescent="0.25">
      <c r="A19" s="3" t="s">
        <v>197</v>
      </c>
      <c r="B19" s="3"/>
      <c r="C19" s="3"/>
      <c r="D19" s="3"/>
      <c r="E19" s="3"/>
      <c r="F19" s="3"/>
      <c r="G19" s="3"/>
      <c r="H19" s="3"/>
      <c r="I19" s="3"/>
      <c r="J19" s="3"/>
      <c r="K19" s="3"/>
      <c r="L19" s="3"/>
    </row>
    <row r="20" spans="1:12" x14ac:dyDescent="0.25">
      <c r="A20" s="3" t="s">
        <v>198</v>
      </c>
      <c r="B20" s="3"/>
      <c r="C20" s="3"/>
      <c r="D20" s="3"/>
      <c r="E20" s="3"/>
      <c r="F20" s="3"/>
      <c r="G20" s="3"/>
      <c r="H20" s="3"/>
      <c r="I20" s="3"/>
      <c r="J20" s="3"/>
      <c r="K20" s="3"/>
      <c r="L20" s="3"/>
    </row>
    <row r="21" spans="1:12" x14ac:dyDescent="0.25">
      <c r="A21" s="3" t="s">
        <v>199</v>
      </c>
      <c r="B21" s="3"/>
      <c r="C21" s="3"/>
      <c r="D21" s="3"/>
      <c r="E21" s="3"/>
      <c r="F21" s="3"/>
      <c r="G21" s="3"/>
      <c r="H21" s="3"/>
      <c r="I21" s="3"/>
      <c r="J21" s="3"/>
      <c r="K21" s="3"/>
      <c r="L21" s="3"/>
    </row>
    <row r="22" spans="1:12" x14ac:dyDescent="0.25">
      <c r="A22" s="3" t="s">
        <v>200</v>
      </c>
      <c r="B22" s="3"/>
      <c r="C22" s="3"/>
      <c r="D22" s="3"/>
      <c r="E22" s="3"/>
      <c r="F22" s="3"/>
      <c r="G22" s="3"/>
      <c r="H22" s="3"/>
      <c r="I22" s="3"/>
      <c r="J22" s="3"/>
      <c r="K22" s="3"/>
      <c r="L22" s="3"/>
    </row>
    <row r="23" spans="1:12" x14ac:dyDescent="0.25">
      <c r="A23" s="3" t="s">
        <v>201</v>
      </c>
      <c r="B23" s="3"/>
      <c r="C23" s="3"/>
      <c r="D23" s="3"/>
      <c r="E23" s="3"/>
      <c r="F23" s="3"/>
      <c r="G23" s="3">
        <v>68.900087306495706</v>
      </c>
      <c r="H23" s="3"/>
      <c r="I23" s="3"/>
      <c r="J23" s="3"/>
      <c r="K23" s="3"/>
      <c r="L23" s="3"/>
    </row>
    <row r="24" spans="1:12" x14ac:dyDescent="0.25">
      <c r="A24" s="3" t="s">
        <v>202</v>
      </c>
      <c r="B24" s="3"/>
      <c r="C24" s="3"/>
      <c r="D24" s="3"/>
      <c r="E24" s="3"/>
      <c r="F24" s="3"/>
      <c r="G24" s="3"/>
      <c r="H24" s="3"/>
      <c r="I24" s="3"/>
      <c r="J24" s="3"/>
      <c r="K24" s="3"/>
      <c r="L24" s="3"/>
    </row>
    <row r="25" spans="1:12" x14ac:dyDescent="0.25">
      <c r="A25" s="3" t="s">
        <v>203</v>
      </c>
      <c r="B25" s="3"/>
      <c r="C25" s="3"/>
      <c r="D25" s="3">
        <v>43.713834955174001</v>
      </c>
      <c r="E25" s="3"/>
      <c r="F25" s="3"/>
      <c r="G25" s="3"/>
      <c r="H25" s="3">
        <v>47.044232794186499</v>
      </c>
      <c r="I25" s="3"/>
      <c r="J25" s="3"/>
      <c r="K25" s="3"/>
      <c r="L25" s="3"/>
    </row>
    <row r="26" spans="1:12" x14ac:dyDescent="0.25">
      <c r="A26" s="3" t="s">
        <v>204</v>
      </c>
      <c r="B26" s="3"/>
      <c r="C26" s="3"/>
      <c r="D26" s="3"/>
      <c r="E26" s="3"/>
      <c r="F26" s="3"/>
      <c r="G26" s="3"/>
      <c r="H26" s="3">
        <v>82.790120561971193</v>
      </c>
      <c r="I26" s="3"/>
      <c r="J26" s="3"/>
      <c r="K26" s="3"/>
      <c r="L26" s="3"/>
    </row>
    <row r="27" spans="1:12" x14ac:dyDescent="0.25">
      <c r="A27" s="3" t="s">
        <v>205</v>
      </c>
      <c r="B27" s="3"/>
      <c r="C27" s="3"/>
      <c r="D27" s="3"/>
      <c r="E27" s="3"/>
      <c r="F27" s="3"/>
      <c r="G27" s="3"/>
      <c r="H27" s="3"/>
      <c r="I27" s="3"/>
      <c r="J27" s="3"/>
      <c r="K27" s="3"/>
      <c r="L27" s="3"/>
    </row>
    <row r="28" spans="1:12" x14ac:dyDescent="0.25">
      <c r="A28" s="3" t="s">
        <v>206</v>
      </c>
      <c r="B28" s="3"/>
      <c r="C28" s="3"/>
      <c r="D28" s="3"/>
      <c r="E28" s="3"/>
      <c r="F28" s="3"/>
      <c r="G28" s="3"/>
      <c r="H28" s="3"/>
      <c r="I28" s="3"/>
      <c r="J28" s="3"/>
      <c r="K28" s="3"/>
      <c r="L28" s="3"/>
    </row>
    <row r="29" spans="1:12" x14ac:dyDescent="0.25">
      <c r="A29" s="3" t="s">
        <v>207</v>
      </c>
      <c r="B29" s="3"/>
      <c r="C29" s="3"/>
      <c r="D29" s="3"/>
      <c r="E29" s="3"/>
      <c r="F29" s="3"/>
      <c r="G29" s="3"/>
      <c r="H29" s="3"/>
      <c r="I29" s="3"/>
      <c r="J29" s="3"/>
      <c r="K29" s="3"/>
      <c r="L29" s="3">
        <v>89.742908565518405</v>
      </c>
    </row>
    <row r="30" spans="1:12" x14ac:dyDescent="0.25">
      <c r="A30" s="3" t="s">
        <v>208</v>
      </c>
      <c r="B30" s="3"/>
      <c r="C30" s="3"/>
      <c r="D30" s="3"/>
      <c r="E30" s="3"/>
      <c r="F30" s="3"/>
      <c r="G30" s="3"/>
      <c r="H30" s="3"/>
      <c r="I30" s="3"/>
      <c r="J30" s="3"/>
      <c r="K30" s="3"/>
      <c r="L30" s="3"/>
    </row>
    <row r="31" spans="1:12" x14ac:dyDescent="0.25">
      <c r="A31" s="3" t="s">
        <v>209</v>
      </c>
      <c r="B31" s="3"/>
      <c r="C31" s="3"/>
      <c r="D31" s="3"/>
      <c r="E31" s="3"/>
      <c r="F31" s="3">
        <v>72.795905246026805</v>
      </c>
      <c r="G31" s="3">
        <v>74.6253436123569</v>
      </c>
      <c r="H31" s="3">
        <v>76.0744420523381</v>
      </c>
      <c r="I31" s="3">
        <v>80.723651758931496</v>
      </c>
      <c r="J31" s="3"/>
      <c r="K31" s="3"/>
      <c r="L31" s="3"/>
    </row>
    <row r="32" spans="1:12" x14ac:dyDescent="0.25">
      <c r="A32" s="3" t="s">
        <v>210</v>
      </c>
      <c r="B32" s="3"/>
      <c r="C32" s="3"/>
      <c r="D32" s="3"/>
      <c r="E32" s="3"/>
      <c r="F32" s="3">
        <v>26.3915296266584</v>
      </c>
      <c r="G32" s="3"/>
      <c r="H32" s="3"/>
      <c r="I32" s="3"/>
      <c r="J32" s="3"/>
      <c r="K32" s="3">
        <v>58.838902071627103</v>
      </c>
      <c r="L32" s="3"/>
    </row>
    <row r="33" spans="1:12" x14ac:dyDescent="0.25">
      <c r="A33" s="3" t="s">
        <v>211</v>
      </c>
      <c r="B33" s="3"/>
      <c r="C33" s="3"/>
      <c r="D33" s="3"/>
      <c r="E33" s="3"/>
      <c r="F33" s="3"/>
      <c r="G33" s="3"/>
      <c r="H33" s="3"/>
      <c r="I33" s="3"/>
      <c r="J33" s="3"/>
      <c r="K33" s="3"/>
      <c r="L33" s="3"/>
    </row>
    <row r="34" spans="1:12" x14ac:dyDescent="0.25">
      <c r="A34" s="3" t="s">
        <v>212</v>
      </c>
      <c r="B34" s="3"/>
      <c r="C34" s="3"/>
      <c r="D34" s="3"/>
      <c r="E34" s="3"/>
      <c r="F34" s="3">
        <v>55.371346195038299</v>
      </c>
      <c r="G34" s="3"/>
      <c r="H34" s="3"/>
      <c r="I34" s="3"/>
      <c r="J34" s="3"/>
      <c r="K34" s="3">
        <v>49.873832709509401</v>
      </c>
      <c r="L34" s="3"/>
    </row>
    <row r="35" spans="1:12" x14ac:dyDescent="0.25">
      <c r="A35" s="3" t="s">
        <v>213</v>
      </c>
      <c r="B35" s="3"/>
      <c r="C35" s="3"/>
      <c r="D35" s="3"/>
      <c r="E35" s="3"/>
      <c r="F35" s="3"/>
      <c r="G35" s="3"/>
      <c r="H35" s="3"/>
      <c r="I35" s="3"/>
      <c r="J35" s="3"/>
      <c r="K35" s="3"/>
      <c r="L35" s="3"/>
    </row>
    <row r="36" spans="1:12" x14ac:dyDescent="0.25">
      <c r="A36" s="3" t="s">
        <v>214</v>
      </c>
      <c r="B36" s="3"/>
      <c r="C36" s="3"/>
      <c r="D36" s="3"/>
      <c r="E36" s="3"/>
      <c r="F36" s="3"/>
      <c r="G36" s="3"/>
      <c r="H36" s="3"/>
      <c r="I36" s="3"/>
      <c r="J36" s="3"/>
      <c r="K36" s="3"/>
      <c r="L36" s="3"/>
    </row>
    <row r="37" spans="1:12" x14ac:dyDescent="0.25">
      <c r="A37" s="3" t="s">
        <v>215</v>
      </c>
      <c r="B37" s="3"/>
      <c r="C37" s="3"/>
      <c r="D37" s="3"/>
      <c r="E37" s="3"/>
      <c r="F37" s="3"/>
      <c r="G37" s="3"/>
      <c r="H37" s="3"/>
      <c r="I37" s="3"/>
      <c r="J37" s="3"/>
      <c r="K37" s="3"/>
      <c r="L37" s="3"/>
    </row>
    <row r="38" spans="1:12" x14ac:dyDescent="0.25">
      <c r="A38" s="3" t="s">
        <v>216</v>
      </c>
      <c r="B38" s="3"/>
      <c r="C38" s="3"/>
      <c r="D38" s="3"/>
      <c r="E38" s="3"/>
      <c r="F38" s="3"/>
      <c r="G38" s="3"/>
      <c r="H38" s="3"/>
      <c r="I38" s="3"/>
      <c r="J38" s="3"/>
      <c r="K38" s="3"/>
      <c r="L38" s="3"/>
    </row>
    <row r="39" spans="1:12" x14ac:dyDescent="0.25">
      <c r="A39" s="3" t="s">
        <v>217</v>
      </c>
      <c r="B39" s="3"/>
      <c r="C39" s="3"/>
      <c r="D39" s="3"/>
      <c r="E39" s="3"/>
      <c r="F39" s="3"/>
      <c r="G39" s="3"/>
      <c r="H39" s="3"/>
      <c r="I39" s="3"/>
      <c r="J39" s="3"/>
      <c r="K39" s="3"/>
      <c r="L39" s="3"/>
    </row>
    <row r="40" spans="1:12" x14ac:dyDescent="0.25">
      <c r="A40" s="3" t="s">
        <v>218</v>
      </c>
      <c r="B40" s="3"/>
      <c r="C40" s="3"/>
      <c r="D40" s="3"/>
      <c r="E40" s="3"/>
      <c r="F40" s="3"/>
      <c r="G40" s="3"/>
      <c r="H40" s="3"/>
      <c r="I40" s="3"/>
      <c r="J40" s="3"/>
      <c r="K40" s="3"/>
      <c r="L40" s="3"/>
    </row>
    <row r="41" spans="1:12" x14ac:dyDescent="0.25">
      <c r="A41" s="3" t="s">
        <v>219</v>
      </c>
      <c r="B41" s="3"/>
      <c r="C41" s="3"/>
      <c r="D41" s="3"/>
      <c r="E41" s="3">
        <v>55.009561536989402</v>
      </c>
      <c r="F41" s="3">
        <v>61.0392935184313</v>
      </c>
      <c r="G41" s="3">
        <v>80.709947458050905</v>
      </c>
      <c r="H41" s="3">
        <v>79.651137547443298</v>
      </c>
      <c r="I41" s="3"/>
      <c r="J41" s="3"/>
      <c r="K41" s="3"/>
      <c r="L41" s="3"/>
    </row>
    <row r="42" spans="1:12" x14ac:dyDescent="0.25">
      <c r="A42" s="3" t="s">
        <v>220</v>
      </c>
      <c r="B42" s="3"/>
      <c r="C42" s="3"/>
      <c r="D42" s="3"/>
      <c r="E42" s="3"/>
      <c r="F42" s="3"/>
      <c r="G42" s="3"/>
      <c r="H42" s="3"/>
      <c r="I42" s="3"/>
      <c r="J42" s="3"/>
      <c r="K42" s="3"/>
      <c r="L42" s="3"/>
    </row>
    <row r="43" spans="1:12" x14ac:dyDescent="0.25">
      <c r="A43" s="3" t="s">
        <v>221</v>
      </c>
      <c r="B43" s="3"/>
      <c r="C43" s="3"/>
      <c r="D43" s="3"/>
      <c r="E43" s="3"/>
      <c r="F43" s="3"/>
      <c r="G43" s="3"/>
      <c r="H43" s="3"/>
      <c r="I43" s="3"/>
      <c r="J43" s="3"/>
      <c r="K43" s="3"/>
      <c r="L43" s="3"/>
    </row>
    <row r="44" spans="1:12" x14ac:dyDescent="0.25">
      <c r="A44" s="3" t="s">
        <v>222</v>
      </c>
      <c r="B44" s="3"/>
      <c r="C44" s="3"/>
      <c r="D44" s="3"/>
      <c r="E44" s="3"/>
      <c r="F44" s="3">
        <v>39.452042508582103</v>
      </c>
      <c r="G44" s="3"/>
      <c r="H44" s="3"/>
      <c r="I44" s="3"/>
      <c r="J44" s="3"/>
      <c r="K44" s="3"/>
      <c r="L44" s="3"/>
    </row>
    <row r="45" spans="1:12" x14ac:dyDescent="0.25">
      <c r="A45" s="3" t="s">
        <v>223</v>
      </c>
      <c r="B45" s="3"/>
      <c r="C45" s="3"/>
      <c r="D45" s="3"/>
      <c r="E45" s="3"/>
      <c r="F45" s="3"/>
      <c r="G45" s="3"/>
      <c r="H45" s="3"/>
      <c r="I45" s="3"/>
      <c r="J45" s="3"/>
      <c r="K45" s="3"/>
      <c r="L45" s="3"/>
    </row>
    <row r="46" spans="1:12" x14ac:dyDescent="0.25">
      <c r="A46" s="3" t="s">
        <v>224</v>
      </c>
      <c r="B46" s="3"/>
      <c r="C46" s="3"/>
      <c r="D46" s="3"/>
      <c r="E46" s="3"/>
      <c r="F46" s="3"/>
      <c r="G46" s="3">
        <v>45.219636888243599</v>
      </c>
      <c r="H46" s="3"/>
      <c r="I46" s="3"/>
      <c r="J46" s="3"/>
      <c r="K46" s="3"/>
      <c r="L46" s="3"/>
    </row>
    <row r="47" spans="1:12" x14ac:dyDescent="0.25">
      <c r="A47" s="3" t="s">
        <v>225</v>
      </c>
      <c r="B47" s="3"/>
      <c r="C47" s="3"/>
      <c r="D47" s="3"/>
      <c r="E47" s="3"/>
      <c r="F47" s="3"/>
      <c r="G47" s="3"/>
      <c r="H47" s="3"/>
      <c r="I47" s="3">
        <v>47.835099326089001</v>
      </c>
      <c r="J47" s="3"/>
      <c r="K47" s="3"/>
      <c r="L47" s="3"/>
    </row>
    <row r="49" spans="1:13" x14ac:dyDescent="0.25">
      <c r="A49" s="5"/>
      <c r="B49" s="5" t="s">
        <v>29</v>
      </c>
      <c r="C49" s="5"/>
      <c r="D49" s="5"/>
      <c r="E49" s="5"/>
      <c r="F49" s="5"/>
      <c r="G49" s="5"/>
      <c r="H49" s="5"/>
      <c r="I49" s="5"/>
      <c r="J49" s="5"/>
      <c r="K49" s="5"/>
      <c r="L49" s="5"/>
    </row>
    <row r="50" spans="1:13" x14ac:dyDescent="0.25">
      <c r="A50" s="6"/>
      <c r="B50" s="6">
        <v>2013</v>
      </c>
      <c r="C50" s="6">
        <v>2014</v>
      </c>
      <c r="D50" s="6">
        <v>2015</v>
      </c>
      <c r="E50" s="6">
        <v>2016</v>
      </c>
      <c r="F50" s="6">
        <v>2017</v>
      </c>
      <c r="G50" s="6">
        <v>2018</v>
      </c>
      <c r="H50" s="6">
        <v>2019</v>
      </c>
      <c r="I50" s="6">
        <v>2020</v>
      </c>
      <c r="J50" s="6">
        <v>2021</v>
      </c>
      <c r="K50" s="6">
        <v>2022</v>
      </c>
      <c r="L50" s="6">
        <v>2023</v>
      </c>
    </row>
    <row r="51" spans="1:13" x14ac:dyDescent="0.25">
      <c r="A51" s="3" t="s">
        <v>183</v>
      </c>
      <c r="B51" s="3"/>
      <c r="C51" s="3">
        <v>77.611426294859996</v>
      </c>
      <c r="D51" s="3"/>
      <c r="E51" s="3"/>
      <c r="F51" s="3"/>
      <c r="G51" s="3"/>
      <c r="H51" s="3"/>
      <c r="I51" s="3"/>
      <c r="J51" s="3"/>
      <c r="K51" s="3"/>
      <c r="L51" s="3"/>
      <c r="M51" s="3"/>
    </row>
    <row r="52" spans="1:13" x14ac:dyDescent="0.25">
      <c r="A52" s="3" t="s">
        <v>184</v>
      </c>
      <c r="B52" s="3"/>
      <c r="C52" s="3"/>
      <c r="D52" s="3"/>
      <c r="E52" s="3"/>
      <c r="F52" s="3"/>
      <c r="G52" s="3"/>
      <c r="H52" s="3"/>
      <c r="I52" s="3"/>
      <c r="J52" s="3"/>
      <c r="K52" s="3"/>
      <c r="L52" s="3"/>
      <c r="M52" s="3"/>
    </row>
    <row r="53" spans="1:13" x14ac:dyDescent="0.25">
      <c r="A53" s="3" t="s">
        <v>185</v>
      </c>
      <c r="B53" s="3"/>
      <c r="C53" s="3"/>
      <c r="D53" s="3"/>
      <c r="E53" s="3"/>
      <c r="F53" s="3"/>
      <c r="G53" s="3"/>
      <c r="H53" s="3"/>
      <c r="I53" s="3"/>
      <c r="J53" s="3"/>
      <c r="K53" s="3"/>
      <c r="L53" s="3"/>
      <c r="M53" s="3"/>
    </row>
    <row r="54" spans="1:13" x14ac:dyDescent="0.25">
      <c r="A54" s="3" t="s">
        <v>186</v>
      </c>
      <c r="B54" s="3"/>
      <c r="C54" s="3"/>
      <c r="D54" s="3"/>
      <c r="E54" s="3"/>
      <c r="F54" s="3"/>
      <c r="G54" s="3"/>
      <c r="H54" s="3">
        <v>60.904628638499801</v>
      </c>
      <c r="I54" s="3"/>
      <c r="J54" s="3"/>
      <c r="K54" s="3"/>
      <c r="L54" s="3"/>
      <c r="M54" s="3"/>
    </row>
    <row r="55" spans="1:13" x14ac:dyDescent="0.25">
      <c r="A55" s="3" t="s">
        <v>187</v>
      </c>
      <c r="B55" s="3">
        <v>19.621622358395602</v>
      </c>
      <c r="C55" s="3">
        <v>16.030888953987699</v>
      </c>
      <c r="D55" s="3"/>
      <c r="E55" s="3"/>
      <c r="F55" s="3">
        <v>25.335861952243299</v>
      </c>
      <c r="G55" s="3"/>
      <c r="H55" s="3"/>
      <c r="I55" s="3"/>
      <c r="J55" s="3"/>
      <c r="K55" s="3"/>
      <c r="L55" s="3"/>
      <c r="M55" s="3"/>
    </row>
    <row r="56" spans="1:13" x14ac:dyDescent="0.25">
      <c r="A56" s="3" t="s">
        <v>189</v>
      </c>
      <c r="B56" s="3"/>
      <c r="C56" s="3"/>
      <c r="D56" s="3">
        <v>74.096962165611501</v>
      </c>
      <c r="E56" s="3">
        <v>73.606444188722705</v>
      </c>
      <c r="F56" s="3">
        <v>74.662949982634402</v>
      </c>
      <c r="G56" s="3"/>
      <c r="H56" s="3">
        <v>72.526719810846203</v>
      </c>
      <c r="I56" s="3"/>
      <c r="J56" s="3"/>
      <c r="K56" s="3"/>
      <c r="L56" s="3"/>
      <c r="M56" s="3"/>
    </row>
    <row r="57" spans="1:13" x14ac:dyDescent="0.25">
      <c r="A57" s="3" t="s">
        <v>188</v>
      </c>
      <c r="B57" s="3"/>
      <c r="C57" s="3"/>
      <c r="D57" s="3"/>
      <c r="E57" s="3"/>
      <c r="F57" s="3"/>
      <c r="G57" s="3"/>
      <c r="H57" s="3"/>
      <c r="I57" s="3"/>
      <c r="J57" s="3"/>
      <c r="K57" s="3"/>
      <c r="L57" s="3"/>
      <c r="M57" s="3"/>
    </row>
    <row r="58" spans="1:13" x14ac:dyDescent="0.25">
      <c r="A58" s="3" t="s">
        <v>190</v>
      </c>
      <c r="B58" s="3"/>
      <c r="C58" s="3"/>
      <c r="D58" s="3"/>
      <c r="E58" s="3"/>
      <c r="F58" s="3"/>
      <c r="G58" s="3"/>
      <c r="H58" s="3"/>
      <c r="I58" s="3"/>
      <c r="J58" s="3"/>
      <c r="K58" s="3"/>
      <c r="L58" s="3"/>
      <c r="M58" s="3"/>
    </row>
    <row r="59" spans="1:13" x14ac:dyDescent="0.25">
      <c r="A59" s="3" t="s">
        <v>191</v>
      </c>
      <c r="B59" s="3"/>
      <c r="C59" s="3"/>
      <c r="D59" s="3"/>
      <c r="E59" s="3"/>
      <c r="F59" s="3"/>
      <c r="G59" s="3"/>
      <c r="H59" s="3"/>
      <c r="I59" s="3"/>
      <c r="J59" s="3"/>
      <c r="K59" s="3"/>
      <c r="L59" s="3"/>
      <c r="M59" s="3"/>
    </row>
    <row r="60" spans="1:13" x14ac:dyDescent="0.25">
      <c r="A60" s="3" t="s">
        <v>192</v>
      </c>
      <c r="B60" s="3"/>
      <c r="C60" s="3"/>
      <c r="D60" s="3"/>
      <c r="E60" s="3"/>
      <c r="F60" s="3"/>
      <c r="G60" s="3"/>
      <c r="H60" s="3"/>
      <c r="I60" s="3"/>
      <c r="J60" s="3"/>
      <c r="K60" s="3"/>
      <c r="L60" s="3"/>
      <c r="M60" s="3"/>
    </row>
    <row r="61" spans="1:13" x14ac:dyDescent="0.25">
      <c r="A61" s="3" t="s">
        <v>193</v>
      </c>
      <c r="B61" s="3"/>
      <c r="C61" s="3"/>
      <c r="D61" s="3"/>
      <c r="E61" s="3"/>
      <c r="F61" s="3">
        <v>81.383433365168699</v>
      </c>
      <c r="G61" s="3">
        <v>74.745240667942198</v>
      </c>
      <c r="H61" s="3">
        <v>71.034191543766795</v>
      </c>
      <c r="I61" s="3"/>
      <c r="J61" s="3"/>
      <c r="K61" s="3">
        <v>65.563483209409696</v>
      </c>
      <c r="L61" s="3">
        <v>68.989638719851996</v>
      </c>
      <c r="M61" s="3"/>
    </row>
    <row r="62" spans="1:13" x14ac:dyDescent="0.25">
      <c r="A62" s="3" t="s">
        <v>249</v>
      </c>
      <c r="B62" s="3"/>
      <c r="C62" s="3"/>
      <c r="D62" s="3"/>
      <c r="E62" s="3"/>
      <c r="F62" s="3"/>
      <c r="G62" s="3"/>
      <c r="H62" s="3"/>
      <c r="I62" s="3"/>
      <c r="J62" s="3"/>
      <c r="K62" s="3"/>
      <c r="L62" s="3"/>
      <c r="M62" s="3"/>
    </row>
    <row r="63" spans="1:13" x14ac:dyDescent="0.25">
      <c r="A63" s="3" t="s">
        <v>194</v>
      </c>
      <c r="B63" s="3"/>
      <c r="C63" s="3"/>
      <c r="D63" s="3"/>
      <c r="E63" s="3"/>
      <c r="F63" s="3"/>
      <c r="G63" s="3"/>
      <c r="H63" s="3"/>
      <c r="I63" s="3"/>
      <c r="J63" s="3"/>
      <c r="K63" s="3"/>
      <c r="L63" s="3"/>
      <c r="M63" s="3"/>
    </row>
    <row r="64" spans="1:13" x14ac:dyDescent="0.25">
      <c r="A64" s="3" t="s">
        <v>195</v>
      </c>
      <c r="B64" s="3"/>
      <c r="C64" s="3"/>
      <c r="D64" s="3"/>
      <c r="E64" s="3"/>
      <c r="F64" s="3"/>
      <c r="G64" s="3"/>
      <c r="H64" s="3"/>
      <c r="I64" s="3"/>
      <c r="J64" s="3"/>
      <c r="K64" s="3"/>
      <c r="L64" s="3"/>
      <c r="M64" s="3"/>
    </row>
    <row r="65" spans="1:13" x14ac:dyDescent="0.25">
      <c r="A65" s="3" t="s">
        <v>196</v>
      </c>
      <c r="B65" s="3"/>
      <c r="C65" s="3"/>
      <c r="D65" s="3"/>
      <c r="E65" s="3"/>
      <c r="F65" s="3"/>
      <c r="G65" s="3"/>
      <c r="H65" s="3"/>
      <c r="I65" s="3"/>
      <c r="J65" s="3"/>
      <c r="K65" s="3"/>
      <c r="L65" s="3"/>
      <c r="M65" s="3"/>
    </row>
    <row r="66" spans="1:13" x14ac:dyDescent="0.25">
      <c r="A66" s="3" t="s">
        <v>197</v>
      </c>
      <c r="B66" s="3"/>
      <c r="C66" s="3"/>
      <c r="D66" s="3"/>
      <c r="E66" s="3"/>
      <c r="F66" s="3"/>
      <c r="G66" s="3"/>
      <c r="H66" s="3"/>
      <c r="I66" s="3"/>
      <c r="J66" s="3"/>
      <c r="K66" s="3"/>
      <c r="L66" s="3"/>
      <c r="M66" s="3"/>
    </row>
    <row r="67" spans="1:13" x14ac:dyDescent="0.25">
      <c r="A67" s="3" t="s">
        <v>198</v>
      </c>
      <c r="B67" s="3"/>
      <c r="C67" s="3"/>
      <c r="D67" s="3"/>
      <c r="E67" s="3"/>
      <c r="F67" s="3"/>
      <c r="G67" s="3"/>
      <c r="H67" s="3"/>
      <c r="I67" s="3"/>
      <c r="J67" s="3"/>
      <c r="K67" s="3"/>
      <c r="L67" s="3"/>
      <c r="M67" s="3"/>
    </row>
    <row r="68" spans="1:13" x14ac:dyDescent="0.25">
      <c r="A68" s="3" t="s">
        <v>199</v>
      </c>
      <c r="B68" s="3"/>
      <c r="C68" s="3"/>
      <c r="D68" s="3"/>
      <c r="E68" s="3"/>
      <c r="F68" s="3"/>
      <c r="G68" s="3"/>
      <c r="H68" s="3"/>
      <c r="I68" s="3"/>
      <c r="J68" s="3"/>
      <c r="K68" s="3"/>
      <c r="L68" s="3"/>
      <c r="M68" s="3"/>
    </row>
    <row r="69" spans="1:13" x14ac:dyDescent="0.25">
      <c r="A69" s="3" t="s">
        <v>200</v>
      </c>
      <c r="B69" s="3"/>
      <c r="C69" s="3"/>
      <c r="D69" s="3"/>
      <c r="E69" s="3"/>
      <c r="F69" s="3"/>
      <c r="G69" s="3"/>
      <c r="H69" s="3"/>
      <c r="I69" s="3"/>
      <c r="J69" s="3"/>
      <c r="K69" s="3"/>
      <c r="L69" s="3"/>
      <c r="M69" s="3"/>
    </row>
    <row r="70" spans="1:13" x14ac:dyDescent="0.25">
      <c r="A70" s="3" t="s">
        <v>201</v>
      </c>
      <c r="B70" s="3"/>
      <c r="C70" s="3"/>
      <c r="D70" s="3"/>
      <c r="E70" s="3"/>
      <c r="F70" s="3"/>
      <c r="G70" s="3">
        <v>85.999981215373495</v>
      </c>
      <c r="H70" s="3"/>
      <c r="I70" s="3"/>
      <c r="J70" s="3"/>
      <c r="K70" s="3"/>
      <c r="L70" s="3"/>
      <c r="M70" s="3"/>
    </row>
    <row r="71" spans="1:13" x14ac:dyDescent="0.25">
      <c r="A71" s="3" t="s">
        <v>202</v>
      </c>
      <c r="B71" s="3"/>
      <c r="C71" s="3"/>
      <c r="D71" s="3"/>
      <c r="E71" s="3"/>
      <c r="F71" s="3"/>
      <c r="G71" s="3"/>
      <c r="H71" s="3"/>
      <c r="I71" s="3"/>
      <c r="J71" s="3"/>
      <c r="K71" s="3"/>
      <c r="L71" s="3"/>
      <c r="M71" s="3"/>
    </row>
    <row r="72" spans="1:13" x14ac:dyDescent="0.25">
      <c r="A72" s="3" t="s">
        <v>203</v>
      </c>
      <c r="B72" s="3"/>
      <c r="C72" s="3"/>
      <c r="D72" s="3">
        <v>45.9678997043045</v>
      </c>
      <c r="E72" s="3"/>
      <c r="F72" s="3"/>
      <c r="G72" s="3"/>
      <c r="H72" s="3">
        <v>47.607505902014402</v>
      </c>
      <c r="I72" s="3"/>
      <c r="J72" s="3"/>
      <c r="K72" s="3"/>
      <c r="L72" s="3"/>
      <c r="M72" s="3"/>
    </row>
    <row r="73" spans="1:13" x14ac:dyDescent="0.25">
      <c r="A73" s="3" t="s">
        <v>204</v>
      </c>
      <c r="B73" s="3"/>
      <c r="C73" s="3"/>
      <c r="D73" s="3"/>
      <c r="E73" s="3"/>
      <c r="F73" s="3"/>
      <c r="G73" s="3"/>
      <c r="H73" s="3">
        <v>80.0266250290003</v>
      </c>
      <c r="I73" s="3"/>
      <c r="J73" s="3"/>
      <c r="K73" s="3"/>
      <c r="L73" s="3"/>
      <c r="M73" s="3"/>
    </row>
    <row r="74" spans="1:13" x14ac:dyDescent="0.25">
      <c r="A74" s="3" t="s">
        <v>205</v>
      </c>
      <c r="B74" s="3"/>
      <c r="C74" s="3"/>
      <c r="D74" s="3"/>
      <c r="E74" s="3"/>
      <c r="F74" s="3"/>
      <c r="G74" s="3"/>
      <c r="H74" s="3"/>
      <c r="I74" s="3"/>
      <c r="J74" s="3"/>
      <c r="K74" s="3"/>
      <c r="L74" s="3"/>
      <c r="M74" s="3"/>
    </row>
    <row r="75" spans="1:13" x14ac:dyDescent="0.25">
      <c r="A75" s="3" t="s">
        <v>206</v>
      </c>
      <c r="B75" s="3"/>
      <c r="C75" s="3"/>
      <c r="D75" s="3"/>
      <c r="E75" s="3"/>
      <c r="F75" s="3"/>
      <c r="G75" s="3"/>
      <c r="H75" s="3"/>
      <c r="I75" s="3"/>
      <c r="J75" s="3"/>
      <c r="K75" s="3"/>
      <c r="L75" s="3"/>
      <c r="M75" s="3"/>
    </row>
    <row r="76" spans="1:13" x14ac:dyDescent="0.25">
      <c r="A76" s="3" t="s">
        <v>207</v>
      </c>
      <c r="B76" s="3"/>
      <c r="C76" s="3"/>
      <c r="D76" s="3"/>
      <c r="E76" s="3"/>
      <c r="F76" s="3"/>
      <c r="G76" s="3"/>
      <c r="H76" s="3"/>
      <c r="I76" s="3"/>
      <c r="J76" s="3"/>
      <c r="K76" s="3"/>
      <c r="L76" s="3">
        <v>41.553034575573498</v>
      </c>
      <c r="M76" s="3"/>
    </row>
    <row r="77" spans="1:13" x14ac:dyDescent="0.25">
      <c r="A77" s="3" t="s">
        <v>208</v>
      </c>
      <c r="B77" s="3"/>
      <c r="C77" s="3"/>
      <c r="D77" s="3"/>
      <c r="E77" s="3"/>
      <c r="F77" s="3"/>
      <c r="G77" s="3"/>
      <c r="H77" s="3"/>
      <c r="I77" s="3"/>
      <c r="J77" s="3"/>
      <c r="K77" s="3"/>
      <c r="L77" s="3"/>
      <c r="M77" s="3"/>
    </row>
    <row r="78" spans="1:13" x14ac:dyDescent="0.25">
      <c r="A78" s="3" t="s">
        <v>209</v>
      </c>
      <c r="B78" s="3"/>
      <c r="C78" s="3"/>
      <c r="D78" s="3"/>
      <c r="E78" s="3"/>
      <c r="F78" s="3">
        <v>78.731741146894393</v>
      </c>
      <c r="G78" s="3">
        <v>79.248493147842694</v>
      </c>
      <c r="H78" s="3">
        <v>80.289029799897094</v>
      </c>
      <c r="I78" s="3">
        <v>85.139349464715906</v>
      </c>
      <c r="J78" s="3"/>
      <c r="K78" s="3"/>
      <c r="L78" s="3"/>
      <c r="M78" s="3"/>
    </row>
    <row r="79" spans="1:13" x14ac:dyDescent="0.25">
      <c r="A79" s="3" t="s">
        <v>210</v>
      </c>
      <c r="B79" s="3"/>
      <c r="C79" s="3"/>
      <c r="D79" s="3"/>
      <c r="E79" s="3"/>
      <c r="F79" s="3">
        <v>36.844813770355699</v>
      </c>
      <c r="G79" s="3"/>
      <c r="H79" s="3"/>
      <c r="I79" s="3"/>
      <c r="J79" s="3"/>
      <c r="K79" s="3">
        <v>98.621793139006598</v>
      </c>
      <c r="L79" s="3"/>
      <c r="M79" s="3"/>
    </row>
    <row r="80" spans="1:13" x14ac:dyDescent="0.25">
      <c r="A80" s="3" t="s">
        <v>211</v>
      </c>
      <c r="B80" s="3"/>
      <c r="C80" s="3"/>
      <c r="D80" s="3"/>
      <c r="E80" s="3"/>
      <c r="F80" s="3"/>
      <c r="G80" s="3"/>
      <c r="H80" s="3"/>
      <c r="I80" s="3"/>
      <c r="J80" s="3"/>
      <c r="K80" s="3"/>
      <c r="L80" s="3"/>
      <c r="M80" s="3"/>
    </row>
    <row r="81" spans="1:13" x14ac:dyDescent="0.25">
      <c r="A81" s="3" t="s">
        <v>212</v>
      </c>
      <c r="B81" s="3"/>
      <c r="C81" s="3"/>
      <c r="D81" s="3"/>
      <c r="E81" s="3"/>
      <c r="F81" s="3">
        <v>76.592466295838193</v>
      </c>
      <c r="G81" s="3"/>
      <c r="H81" s="3"/>
      <c r="I81" s="3"/>
      <c r="J81" s="3"/>
      <c r="K81" s="3">
        <v>77.028015835865801</v>
      </c>
      <c r="L81" s="3"/>
      <c r="M81" s="3"/>
    </row>
    <row r="82" spans="1:13" x14ac:dyDescent="0.25">
      <c r="A82" s="3" t="s">
        <v>213</v>
      </c>
      <c r="B82" s="3"/>
      <c r="C82" s="3"/>
      <c r="D82" s="3"/>
      <c r="E82" s="3"/>
      <c r="F82" s="3"/>
      <c r="G82" s="3"/>
      <c r="H82" s="3"/>
      <c r="I82" s="3"/>
      <c r="J82" s="3"/>
      <c r="K82" s="3"/>
      <c r="L82" s="3"/>
      <c r="M82" s="3"/>
    </row>
    <row r="83" spans="1:13" x14ac:dyDescent="0.25">
      <c r="A83" s="3" t="s">
        <v>214</v>
      </c>
      <c r="B83" s="3"/>
      <c r="C83" s="3"/>
      <c r="D83" s="3"/>
      <c r="E83" s="3"/>
      <c r="F83" s="3"/>
      <c r="G83" s="3"/>
      <c r="H83" s="3"/>
      <c r="I83" s="3"/>
      <c r="J83" s="3"/>
      <c r="K83" s="3"/>
      <c r="L83" s="3"/>
      <c r="M83" s="3"/>
    </row>
    <row r="84" spans="1:13" x14ac:dyDescent="0.25">
      <c r="A84" s="3" t="s">
        <v>215</v>
      </c>
      <c r="B84" s="3"/>
      <c r="C84" s="3"/>
      <c r="D84" s="3"/>
      <c r="E84" s="3"/>
      <c r="F84" s="3"/>
      <c r="G84" s="3"/>
      <c r="H84" s="3"/>
      <c r="I84" s="3"/>
      <c r="J84" s="3"/>
      <c r="K84" s="3"/>
      <c r="L84" s="3"/>
      <c r="M84" s="3"/>
    </row>
    <row r="85" spans="1:13" x14ac:dyDescent="0.25">
      <c r="A85" s="3" t="s">
        <v>216</v>
      </c>
      <c r="B85" s="3"/>
      <c r="C85" s="3"/>
      <c r="D85" s="3"/>
      <c r="E85" s="3"/>
      <c r="F85" s="3"/>
      <c r="G85" s="3"/>
      <c r="H85" s="3"/>
      <c r="I85" s="3"/>
      <c r="J85" s="3"/>
      <c r="K85" s="3"/>
      <c r="L85" s="3"/>
      <c r="M85" s="3"/>
    </row>
    <row r="86" spans="1:13" x14ac:dyDescent="0.25">
      <c r="A86" s="3" t="s">
        <v>217</v>
      </c>
      <c r="B86" s="3"/>
      <c r="C86" s="3"/>
      <c r="D86" s="3"/>
      <c r="E86" s="3"/>
      <c r="F86" s="3"/>
      <c r="G86" s="3"/>
      <c r="H86" s="3"/>
      <c r="I86" s="3"/>
      <c r="J86" s="3"/>
      <c r="K86" s="3"/>
      <c r="L86" s="3"/>
      <c r="M86" s="3"/>
    </row>
    <row r="87" spans="1:13" x14ac:dyDescent="0.25">
      <c r="A87" s="3" t="s">
        <v>218</v>
      </c>
      <c r="B87" s="3"/>
      <c r="C87" s="3"/>
      <c r="D87" s="3"/>
      <c r="E87" s="3"/>
      <c r="F87" s="3"/>
      <c r="G87" s="3"/>
      <c r="H87" s="3"/>
      <c r="I87" s="3"/>
      <c r="J87" s="3"/>
      <c r="K87" s="3"/>
      <c r="L87" s="3"/>
      <c r="M87" s="3"/>
    </row>
    <row r="88" spans="1:13" x14ac:dyDescent="0.25">
      <c r="A88" s="3" t="s">
        <v>219</v>
      </c>
      <c r="B88" s="3"/>
      <c r="C88" s="3"/>
      <c r="D88" s="3"/>
      <c r="E88" s="3">
        <v>52.345303859064103</v>
      </c>
      <c r="F88" s="3">
        <v>58.129832753344402</v>
      </c>
      <c r="G88" s="3">
        <v>78.344178408284293</v>
      </c>
      <c r="H88" s="3">
        <v>76.546520056328404</v>
      </c>
      <c r="I88" s="3"/>
      <c r="J88" s="3"/>
      <c r="K88" s="3"/>
      <c r="L88" s="3"/>
      <c r="M88" s="3"/>
    </row>
    <row r="89" spans="1:13" x14ac:dyDescent="0.25">
      <c r="A89" s="3" t="s">
        <v>220</v>
      </c>
      <c r="B89" s="3"/>
      <c r="C89" s="3"/>
      <c r="D89" s="3"/>
      <c r="E89" s="3"/>
      <c r="F89" s="3"/>
      <c r="G89" s="3"/>
      <c r="H89" s="3"/>
      <c r="I89" s="3"/>
      <c r="J89" s="3"/>
      <c r="K89" s="3"/>
      <c r="L89" s="3"/>
      <c r="M89" s="3"/>
    </row>
    <row r="90" spans="1:13" x14ac:dyDescent="0.25">
      <c r="A90" s="3" t="s">
        <v>221</v>
      </c>
      <c r="B90" s="3"/>
      <c r="C90" s="3"/>
      <c r="D90" s="3"/>
      <c r="E90" s="3"/>
      <c r="F90" s="3"/>
      <c r="G90" s="3"/>
      <c r="H90" s="3"/>
      <c r="I90" s="3"/>
      <c r="J90" s="3"/>
      <c r="K90" s="3"/>
      <c r="L90" s="3"/>
      <c r="M90" s="3"/>
    </row>
    <row r="91" spans="1:13" x14ac:dyDescent="0.25">
      <c r="A91" s="3" t="s">
        <v>222</v>
      </c>
      <c r="B91" s="3"/>
      <c r="C91" s="3"/>
      <c r="D91" s="3"/>
      <c r="E91" s="3"/>
      <c r="F91" s="3">
        <v>48.6366067460024</v>
      </c>
      <c r="G91" s="3"/>
      <c r="H91" s="3"/>
      <c r="I91" s="3"/>
      <c r="J91" s="3"/>
      <c r="K91" s="3"/>
      <c r="L91" s="3"/>
      <c r="M91" s="3"/>
    </row>
    <row r="92" spans="1:13" x14ac:dyDescent="0.25">
      <c r="A92" s="3" t="s">
        <v>223</v>
      </c>
      <c r="B92" s="3"/>
      <c r="C92" s="3"/>
      <c r="D92" s="3"/>
      <c r="E92" s="3"/>
      <c r="F92" s="3"/>
      <c r="G92" s="3"/>
      <c r="H92" s="3"/>
      <c r="I92" s="3"/>
      <c r="J92" s="3"/>
      <c r="K92" s="3"/>
      <c r="L92" s="3"/>
      <c r="M92" s="3"/>
    </row>
    <row r="93" spans="1:13" x14ac:dyDescent="0.25">
      <c r="A93" s="3" t="s">
        <v>224</v>
      </c>
      <c r="B93" s="3"/>
      <c r="C93" s="3"/>
      <c r="D93" s="3"/>
      <c r="E93" s="3"/>
      <c r="F93" s="3"/>
      <c r="G93" s="3">
        <v>43.9683119451742</v>
      </c>
      <c r="H93" s="3"/>
      <c r="I93" s="3"/>
      <c r="J93" s="3"/>
      <c r="K93" s="3"/>
      <c r="L93" s="3"/>
      <c r="M93" s="3"/>
    </row>
    <row r="94" spans="1:13" x14ac:dyDescent="0.25">
      <c r="A94" s="3" t="s">
        <v>225</v>
      </c>
      <c r="B94" s="3"/>
      <c r="C94" s="3"/>
      <c r="D94" s="3"/>
      <c r="E94" s="3"/>
      <c r="F94" s="3"/>
      <c r="G94" s="3"/>
      <c r="H94" s="3"/>
      <c r="I94" s="3">
        <v>46.181138351346704</v>
      </c>
      <c r="J94" s="3"/>
      <c r="K94" s="3"/>
      <c r="L94" s="3"/>
      <c r="M94" s="3"/>
    </row>
    <row r="95" spans="1:13" x14ac:dyDescent="0.25">
      <c r="B95" s="3"/>
      <c r="C95" s="3"/>
      <c r="D95" s="3"/>
      <c r="E95" s="3"/>
      <c r="F95" s="3"/>
      <c r="G95" s="3"/>
      <c r="H95" s="3"/>
      <c r="I95" s="3"/>
      <c r="J95" s="3"/>
      <c r="K95" s="3"/>
      <c r="L95" s="3"/>
      <c r="M95" s="3"/>
    </row>
    <row r="96" spans="1:13" x14ac:dyDescent="0.25">
      <c r="A96" t="s">
        <v>23</v>
      </c>
      <c r="B96" s="3"/>
      <c r="C96" s="3"/>
      <c r="D96" s="3"/>
      <c r="E96" s="3"/>
      <c r="F96" s="3"/>
      <c r="G96" s="3"/>
      <c r="H96" s="3"/>
      <c r="I96" s="3"/>
      <c r="J96" s="3"/>
      <c r="K96" s="3"/>
      <c r="L96" s="3"/>
      <c r="M96" s="3"/>
    </row>
  </sheetData>
  <hyperlinks>
    <hyperlink ref="L1" location="Contents!A1" display="Return to Contents" xr:uid="{4299FBB6-EF62-4CE3-87E0-3DE9DD72CC2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4780-3068-4B59-A3C2-845E555681C3}">
  <sheetPr codeName="Sheet16"/>
  <dimension ref="A1:F33"/>
  <sheetViews>
    <sheetView workbookViewId="0"/>
  </sheetViews>
  <sheetFormatPr defaultRowHeight="15" x14ac:dyDescent="0.25"/>
  <cols>
    <col min="1" max="1" width="40.85546875" bestFit="1" customWidth="1"/>
    <col min="2" max="3" width="16.85546875" customWidth="1"/>
    <col min="4" max="4" width="19" customWidth="1"/>
    <col min="6" max="6" width="85.140625" bestFit="1" customWidth="1"/>
  </cols>
  <sheetData>
    <row r="1" spans="1:6" x14ac:dyDescent="0.25">
      <c r="A1" s="1" t="s">
        <v>181</v>
      </c>
      <c r="E1" s="44" t="s">
        <v>17</v>
      </c>
    </row>
    <row r="2" spans="1:6" x14ac:dyDescent="0.25">
      <c r="B2" s="1"/>
      <c r="F2" s="13" t="s">
        <v>60</v>
      </c>
    </row>
    <row r="3" spans="1:6" x14ac:dyDescent="0.25">
      <c r="A3" s="9" t="s">
        <v>207</v>
      </c>
      <c r="B3" s="49" t="s">
        <v>119</v>
      </c>
      <c r="C3" s="49" t="s">
        <v>120</v>
      </c>
      <c r="D3" s="49" t="s">
        <v>121</v>
      </c>
      <c r="F3" s="14" t="s">
        <v>62</v>
      </c>
    </row>
    <row r="4" spans="1:6" x14ac:dyDescent="0.25">
      <c r="A4" s="2" t="s">
        <v>62</v>
      </c>
      <c r="B4" s="45">
        <v>8.1492048583729293</v>
      </c>
      <c r="C4" s="45">
        <v>18.7836641788032</v>
      </c>
      <c r="D4" s="45">
        <f>+C4+B4</f>
        <v>26.932869037176129</v>
      </c>
      <c r="F4" t="s">
        <v>61</v>
      </c>
    </row>
    <row r="5" spans="1:6" x14ac:dyDescent="0.25">
      <c r="A5" s="2" t="s">
        <v>66</v>
      </c>
      <c r="B5" s="45">
        <v>22.8692931494658</v>
      </c>
      <c r="C5" s="45">
        <v>66.747495153736594</v>
      </c>
      <c r="D5" s="45">
        <f>+C5+B5</f>
        <v>89.616788303202398</v>
      </c>
      <c r="F5" t="s">
        <v>63</v>
      </c>
    </row>
    <row r="6" spans="1:6" x14ac:dyDescent="0.25">
      <c r="A6" s="2" t="s">
        <v>71</v>
      </c>
      <c r="B6" s="45">
        <v>8.5445851312995291</v>
      </c>
      <c r="C6" s="45">
        <v>6.44826238443052</v>
      </c>
      <c r="D6" s="45">
        <f>+C6+B6</f>
        <v>14.992847515730048</v>
      </c>
      <c r="F6" t="s">
        <v>64</v>
      </c>
    </row>
    <row r="7" spans="1:6" x14ac:dyDescent="0.25">
      <c r="A7" s="2" t="s">
        <v>78</v>
      </c>
      <c r="B7" s="45">
        <v>4.7704559573351597</v>
      </c>
      <c r="C7" s="45">
        <v>2.5096703753257499</v>
      </c>
      <c r="D7" s="45">
        <f>+C7+B7</f>
        <v>7.2801263326609096</v>
      </c>
      <c r="F7" t="s">
        <v>65</v>
      </c>
    </row>
    <row r="8" spans="1:6" x14ac:dyDescent="0.25">
      <c r="A8" s="2" t="s">
        <v>81</v>
      </c>
      <c r="B8" s="45">
        <v>10.895453619117699</v>
      </c>
      <c r="C8" s="45">
        <v>7.7445701667075202</v>
      </c>
      <c r="D8" s="45">
        <f>+C8+B8</f>
        <v>18.640023785825221</v>
      </c>
    </row>
    <row r="9" spans="1:6" x14ac:dyDescent="0.25">
      <c r="F9" s="14" t="s">
        <v>66</v>
      </c>
    </row>
    <row r="10" spans="1:6" x14ac:dyDescent="0.25">
      <c r="F10" t="s">
        <v>67</v>
      </c>
    </row>
    <row r="11" spans="1:6" x14ac:dyDescent="0.25">
      <c r="F11" t="s">
        <v>68</v>
      </c>
    </row>
    <row r="12" spans="1:6" x14ac:dyDescent="0.25">
      <c r="F12" t="s">
        <v>69</v>
      </c>
    </row>
    <row r="13" spans="1:6" x14ac:dyDescent="0.25">
      <c r="F13" t="s">
        <v>70</v>
      </c>
    </row>
    <row r="15" spans="1:6" x14ac:dyDescent="0.25">
      <c r="F15" s="14" t="s">
        <v>71</v>
      </c>
    </row>
    <row r="16" spans="1:6" x14ac:dyDescent="0.25">
      <c r="F16" t="s">
        <v>72</v>
      </c>
    </row>
    <row r="17" spans="6:6" x14ac:dyDescent="0.25">
      <c r="F17" t="s">
        <v>73</v>
      </c>
    </row>
    <row r="18" spans="6:6" x14ac:dyDescent="0.25">
      <c r="F18" t="s">
        <v>74</v>
      </c>
    </row>
    <row r="19" spans="6:6" x14ac:dyDescent="0.25">
      <c r="F19" t="s">
        <v>75</v>
      </c>
    </row>
    <row r="20" spans="6:6" x14ac:dyDescent="0.25">
      <c r="F20" t="s">
        <v>76</v>
      </c>
    </row>
    <row r="21" spans="6:6" x14ac:dyDescent="0.25">
      <c r="F21" s="15" t="s">
        <v>77</v>
      </c>
    </row>
    <row r="23" spans="6:6" x14ac:dyDescent="0.25">
      <c r="F23" s="14" t="s">
        <v>78</v>
      </c>
    </row>
    <row r="24" spans="6:6" x14ac:dyDescent="0.25">
      <c r="F24" s="15" t="s">
        <v>79</v>
      </c>
    </row>
    <row r="25" spans="6:6" x14ac:dyDescent="0.25">
      <c r="F25" t="s">
        <v>80</v>
      </c>
    </row>
    <row r="27" spans="6:6" x14ac:dyDescent="0.25">
      <c r="F27" s="14" t="s">
        <v>81</v>
      </c>
    </row>
    <row r="28" spans="6:6" x14ac:dyDescent="0.25">
      <c r="F28" t="s">
        <v>82</v>
      </c>
    </row>
    <row r="29" spans="6:6" x14ac:dyDescent="0.25">
      <c r="F29" t="s">
        <v>83</v>
      </c>
    </row>
    <row r="30" spans="6:6" x14ac:dyDescent="0.25">
      <c r="F30" t="s">
        <v>84</v>
      </c>
    </row>
    <row r="31" spans="6:6" x14ac:dyDescent="0.25">
      <c r="F31" t="s">
        <v>85</v>
      </c>
    </row>
    <row r="32" spans="6:6" x14ac:dyDescent="0.25">
      <c r="F32" t="s">
        <v>86</v>
      </c>
    </row>
    <row r="33" spans="6:6" x14ac:dyDescent="0.25">
      <c r="F33" t="s">
        <v>87</v>
      </c>
    </row>
  </sheetData>
  <hyperlinks>
    <hyperlink ref="E1" location="Contents!A1" display="Return to Contents" xr:uid="{FC32883D-955E-407E-904C-B86CE696FE5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FA13-F51F-42F2-A2D5-9A14FE139CCC}">
  <sheetPr codeName="Sheet17"/>
  <dimension ref="A1:E132"/>
  <sheetViews>
    <sheetView workbookViewId="0"/>
  </sheetViews>
  <sheetFormatPr defaultRowHeight="15" x14ac:dyDescent="0.25"/>
  <cols>
    <col min="1" max="1" width="31.5703125" customWidth="1"/>
    <col min="2" max="2" width="10.28515625" customWidth="1"/>
    <col min="3" max="3" width="12.7109375" customWidth="1"/>
    <col min="4" max="4" width="85.140625" bestFit="1" customWidth="1"/>
    <col min="5" max="5" width="34.42578125" bestFit="1" customWidth="1"/>
  </cols>
  <sheetData>
    <row r="1" spans="1:5" x14ac:dyDescent="0.25">
      <c r="A1" s="1" t="s">
        <v>160</v>
      </c>
      <c r="D1" s="34" t="s">
        <v>17</v>
      </c>
    </row>
    <row r="3" spans="1:5" x14ac:dyDescent="0.25">
      <c r="B3" s="3"/>
      <c r="D3" s="13" t="s">
        <v>60</v>
      </c>
      <c r="E3" s="13" t="s">
        <v>138</v>
      </c>
    </row>
    <row r="4" spans="1:5" x14ac:dyDescent="0.25">
      <c r="A4" s="6"/>
      <c r="B4" s="6" t="s">
        <v>259</v>
      </c>
      <c r="D4" s="14" t="s">
        <v>62</v>
      </c>
    </row>
    <row r="5" spans="1:5" x14ac:dyDescent="0.25">
      <c r="A5" s="9" t="s">
        <v>171</v>
      </c>
      <c r="B5" s="8"/>
      <c r="D5" t="s">
        <v>61</v>
      </c>
      <c r="E5" t="s">
        <v>139</v>
      </c>
    </row>
    <row r="6" spans="1:5" x14ac:dyDescent="0.25">
      <c r="A6" s="35" t="s">
        <v>61</v>
      </c>
      <c r="B6" s="1"/>
      <c r="D6" t="s">
        <v>63</v>
      </c>
      <c r="E6" t="s">
        <v>63</v>
      </c>
    </row>
    <row r="7" spans="1:5" x14ac:dyDescent="0.25">
      <c r="A7" s="46" t="s">
        <v>193</v>
      </c>
      <c r="B7" s="3">
        <v>22.7328827142276</v>
      </c>
      <c r="C7" s="3"/>
      <c r="D7" t="s">
        <v>64</v>
      </c>
      <c r="E7" t="s">
        <v>140</v>
      </c>
    </row>
    <row r="8" spans="1:5" x14ac:dyDescent="0.25">
      <c r="A8" s="46" t="s">
        <v>204</v>
      </c>
      <c r="B8" s="3">
        <v>2.9813233354162301</v>
      </c>
      <c r="C8" s="3"/>
      <c r="D8" t="s">
        <v>65</v>
      </c>
      <c r="E8" t="s">
        <v>141</v>
      </c>
    </row>
    <row r="9" spans="1:5" x14ac:dyDescent="0.25">
      <c r="A9" s="35" t="s">
        <v>65</v>
      </c>
      <c r="B9" s="47"/>
      <c r="C9" s="3"/>
    </row>
    <row r="10" spans="1:5" x14ac:dyDescent="0.25">
      <c r="A10" s="46" t="s">
        <v>193</v>
      </c>
      <c r="B10" s="3">
        <v>31.799125132975501</v>
      </c>
      <c r="C10" s="3"/>
      <c r="D10" s="14" t="s">
        <v>66</v>
      </c>
    </row>
    <row r="11" spans="1:5" x14ac:dyDescent="0.25">
      <c r="A11" s="46" t="s">
        <v>207</v>
      </c>
      <c r="B11" s="3">
        <v>15.756583189840599</v>
      </c>
      <c r="C11" s="3"/>
      <c r="D11" t="s">
        <v>67</v>
      </c>
      <c r="E11" t="s">
        <v>142</v>
      </c>
    </row>
    <row r="12" spans="1:5" x14ac:dyDescent="0.25">
      <c r="A12" s="46" t="s">
        <v>225</v>
      </c>
      <c r="B12" s="3">
        <v>20.4507565983928</v>
      </c>
      <c r="C12" s="3"/>
      <c r="D12" t="s">
        <v>68</v>
      </c>
      <c r="E12" t="s">
        <v>143</v>
      </c>
    </row>
    <row r="13" spans="1:5" x14ac:dyDescent="0.25">
      <c r="A13" s="35" t="s">
        <v>64</v>
      </c>
      <c r="B13" s="47"/>
      <c r="C13" s="3"/>
      <c r="D13" t="s">
        <v>69</v>
      </c>
      <c r="E13" t="s">
        <v>144</v>
      </c>
    </row>
    <row r="14" spans="1:5" x14ac:dyDescent="0.25">
      <c r="A14" s="46" t="s">
        <v>193</v>
      </c>
      <c r="B14" s="3">
        <v>9.5201991754689992</v>
      </c>
      <c r="C14" s="3"/>
      <c r="D14" t="s">
        <v>70</v>
      </c>
      <c r="E14" t="s">
        <v>145</v>
      </c>
    </row>
    <row r="15" spans="1:5" x14ac:dyDescent="0.25">
      <c r="A15" s="46" t="s">
        <v>207</v>
      </c>
      <c r="B15" s="3">
        <v>15.465413578988899</v>
      </c>
      <c r="C15" s="3"/>
    </row>
    <row r="16" spans="1:5" x14ac:dyDescent="0.25">
      <c r="A16" s="46" t="s">
        <v>209</v>
      </c>
      <c r="B16" s="3">
        <v>40.152349679541203</v>
      </c>
      <c r="C16" s="3"/>
      <c r="D16" s="14" t="s">
        <v>71</v>
      </c>
    </row>
    <row r="17" spans="1:5" x14ac:dyDescent="0.25">
      <c r="A17" s="46" t="s">
        <v>225</v>
      </c>
      <c r="B17" s="3">
        <v>27.457155165796699</v>
      </c>
      <c r="C17" s="3"/>
      <c r="D17" t="s">
        <v>72</v>
      </c>
      <c r="E17" t="s">
        <v>146</v>
      </c>
    </row>
    <row r="18" spans="1:5" x14ac:dyDescent="0.25">
      <c r="A18" s="35" t="s">
        <v>63</v>
      </c>
      <c r="B18" s="47"/>
      <c r="C18" s="3"/>
      <c r="D18" t="s">
        <v>73</v>
      </c>
      <c r="E18" t="s">
        <v>147</v>
      </c>
    </row>
    <row r="19" spans="1:5" x14ac:dyDescent="0.25">
      <c r="A19" s="46" t="s">
        <v>193</v>
      </c>
      <c r="B19" s="3">
        <v>23.971627367052299</v>
      </c>
      <c r="C19" s="3"/>
      <c r="D19" t="s">
        <v>74</v>
      </c>
      <c r="E19" t="s">
        <v>148</v>
      </c>
    </row>
    <row r="20" spans="1:5" x14ac:dyDescent="0.25">
      <c r="A20" s="46" t="s">
        <v>207</v>
      </c>
      <c r="B20" s="3">
        <v>6.6211428025727299</v>
      </c>
      <c r="C20" s="3"/>
      <c r="D20" t="s">
        <v>75</v>
      </c>
      <c r="E20" t="s">
        <v>149</v>
      </c>
    </row>
    <row r="21" spans="1:5" x14ac:dyDescent="0.25">
      <c r="A21" s="46" t="s">
        <v>225</v>
      </c>
      <c r="B21" s="3">
        <v>16.3925281591839</v>
      </c>
      <c r="C21" s="3"/>
      <c r="D21" t="s">
        <v>76</v>
      </c>
      <c r="E21" t="s">
        <v>150</v>
      </c>
    </row>
    <row r="22" spans="1:5" x14ac:dyDescent="0.25">
      <c r="A22" s="9" t="s">
        <v>172</v>
      </c>
      <c r="B22" s="11"/>
      <c r="C22" s="3"/>
      <c r="D22" s="15" t="s">
        <v>77</v>
      </c>
      <c r="E22" t="s">
        <v>151</v>
      </c>
    </row>
    <row r="23" spans="1:5" x14ac:dyDescent="0.25">
      <c r="A23" s="35" t="s">
        <v>67</v>
      </c>
      <c r="B23" s="47"/>
      <c r="C23" s="3"/>
    </row>
    <row r="24" spans="1:5" x14ac:dyDescent="0.25">
      <c r="A24" s="46" t="s">
        <v>189</v>
      </c>
      <c r="B24" s="3">
        <v>21.068724090544301</v>
      </c>
      <c r="C24" s="3"/>
      <c r="D24" s="14" t="s">
        <v>78</v>
      </c>
    </row>
    <row r="25" spans="1:5" x14ac:dyDescent="0.25">
      <c r="A25" s="46" t="s">
        <v>193</v>
      </c>
      <c r="B25" s="3">
        <v>30.834919699369902</v>
      </c>
      <c r="C25" s="3"/>
      <c r="D25" s="15" t="s">
        <v>79</v>
      </c>
      <c r="E25" t="s">
        <v>152</v>
      </c>
    </row>
    <row r="26" spans="1:5" x14ac:dyDescent="0.25">
      <c r="A26" s="46" t="s">
        <v>204</v>
      </c>
      <c r="B26" s="3">
        <v>18.481913490245098</v>
      </c>
      <c r="C26" s="3"/>
      <c r="D26" t="s">
        <v>80</v>
      </c>
      <c r="E26" t="s">
        <v>153</v>
      </c>
    </row>
    <row r="27" spans="1:5" x14ac:dyDescent="0.25">
      <c r="A27" s="46" t="s">
        <v>207</v>
      </c>
      <c r="B27" s="3">
        <v>8.1680090496401103</v>
      </c>
      <c r="C27" s="3"/>
    </row>
    <row r="28" spans="1:5" x14ac:dyDescent="0.25">
      <c r="A28" s="46" t="s">
        <v>209</v>
      </c>
      <c r="B28" s="3">
        <v>46.742968881767602</v>
      </c>
      <c r="C28" s="3"/>
      <c r="D28" s="14" t="s">
        <v>81</v>
      </c>
    </row>
    <row r="29" spans="1:5" x14ac:dyDescent="0.25">
      <c r="A29" s="46" t="s">
        <v>212</v>
      </c>
      <c r="B29" s="3">
        <v>34.488173306391296</v>
      </c>
      <c r="C29" s="3"/>
      <c r="D29" t="s">
        <v>82</v>
      </c>
      <c r="E29" t="s">
        <v>154</v>
      </c>
    </row>
    <row r="30" spans="1:5" x14ac:dyDescent="0.25">
      <c r="A30" s="46" t="s">
        <v>225</v>
      </c>
      <c r="B30" s="3">
        <v>90.433848135677195</v>
      </c>
      <c r="C30" s="3"/>
      <c r="D30" t="s">
        <v>83</v>
      </c>
      <c r="E30" t="s">
        <v>155</v>
      </c>
    </row>
    <row r="31" spans="1:5" x14ac:dyDescent="0.25">
      <c r="A31" s="35" t="s">
        <v>69</v>
      </c>
      <c r="B31" s="47"/>
      <c r="C31" s="3"/>
      <c r="D31" t="s">
        <v>84</v>
      </c>
      <c r="E31" t="s">
        <v>156</v>
      </c>
    </row>
    <row r="32" spans="1:5" x14ac:dyDescent="0.25">
      <c r="A32" s="46" t="s">
        <v>193</v>
      </c>
      <c r="B32" s="3">
        <v>90.741295713541007</v>
      </c>
      <c r="C32" s="3"/>
      <c r="D32" t="s">
        <v>85</v>
      </c>
      <c r="E32" t="s">
        <v>157</v>
      </c>
    </row>
    <row r="33" spans="1:5" x14ac:dyDescent="0.25">
      <c r="A33" s="46" t="s">
        <v>207</v>
      </c>
      <c r="B33" s="3">
        <v>80.732004831987993</v>
      </c>
      <c r="C33" s="3"/>
      <c r="D33" t="s">
        <v>86</v>
      </c>
      <c r="E33" t="s">
        <v>158</v>
      </c>
    </row>
    <row r="34" spans="1:5" x14ac:dyDescent="0.25">
      <c r="A34" s="46" t="s">
        <v>209</v>
      </c>
      <c r="B34" s="3">
        <v>79.960258896947195</v>
      </c>
      <c r="C34" s="3"/>
      <c r="D34" t="s">
        <v>87</v>
      </c>
      <c r="E34" t="s">
        <v>87</v>
      </c>
    </row>
    <row r="35" spans="1:5" x14ac:dyDescent="0.25">
      <c r="A35" s="46" t="s">
        <v>225</v>
      </c>
      <c r="B35" s="3">
        <v>46.026264017852803</v>
      </c>
      <c r="C35" s="3"/>
    </row>
    <row r="36" spans="1:5" x14ac:dyDescent="0.25">
      <c r="A36" s="35" t="s">
        <v>70</v>
      </c>
      <c r="B36" s="47"/>
      <c r="C36" s="3"/>
    </row>
    <row r="37" spans="1:5" x14ac:dyDescent="0.25">
      <c r="A37" s="46" t="s">
        <v>193</v>
      </c>
      <c r="B37" s="3">
        <v>1.3472595608537901</v>
      </c>
      <c r="C37" s="3"/>
    </row>
    <row r="38" spans="1:5" x14ac:dyDescent="0.25">
      <c r="A38" s="46" t="s">
        <v>207</v>
      </c>
      <c r="B38" s="3">
        <v>0.837131090810461</v>
      </c>
      <c r="C38" s="3"/>
    </row>
    <row r="39" spans="1:5" x14ac:dyDescent="0.25">
      <c r="A39" s="46" t="s">
        <v>225</v>
      </c>
      <c r="B39" s="3">
        <v>1.79488299659574</v>
      </c>
      <c r="C39" s="3"/>
    </row>
    <row r="40" spans="1:5" x14ac:dyDescent="0.25">
      <c r="A40" s="35" t="s">
        <v>68</v>
      </c>
      <c r="B40" s="47"/>
      <c r="C40" s="3"/>
    </row>
    <row r="41" spans="1:5" x14ac:dyDescent="0.25">
      <c r="A41" s="46" t="s">
        <v>193</v>
      </c>
      <c r="B41" s="3">
        <v>17.371034619973901</v>
      </c>
      <c r="C41" s="3"/>
    </row>
    <row r="42" spans="1:5" x14ac:dyDescent="0.25">
      <c r="A42" s="46" t="s">
        <v>207</v>
      </c>
      <c r="B42" s="3">
        <v>24.3903159399487</v>
      </c>
      <c r="C42" s="3"/>
    </row>
    <row r="43" spans="1:5" x14ac:dyDescent="0.25">
      <c r="A43" s="46" t="s">
        <v>209</v>
      </c>
      <c r="B43" s="3">
        <v>63.237503162422001</v>
      </c>
      <c r="C43" s="3"/>
    </row>
    <row r="44" spans="1:5" x14ac:dyDescent="0.25">
      <c r="A44" s="46" t="s">
        <v>225</v>
      </c>
      <c r="B44" s="3">
        <v>61.172647887985001</v>
      </c>
      <c r="C44" s="3"/>
    </row>
    <row r="45" spans="1:5" x14ac:dyDescent="0.25">
      <c r="A45" s="9" t="s">
        <v>173</v>
      </c>
      <c r="B45" s="11"/>
      <c r="C45" s="3"/>
    </row>
    <row r="46" spans="1:5" x14ac:dyDescent="0.25">
      <c r="A46" s="35" t="s">
        <v>74</v>
      </c>
      <c r="B46" s="47"/>
      <c r="C46" s="3"/>
    </row>
    <row r="47" spans="1:5" x14ac:dyDescent="0.25">
      <c r="A47" s="46" t="s">
        <v>189</v>
      </c>
      <c r="B47" s="3">
        <v>14.3236545986589</v>
      </c>
      <c r="C47" s="3"/>
    </row>
    <row r="48" spans="1:5" x14ac:dyDescent="0.25">
      <c r="A48" s="46" t="s">
        <v>193</v>
      </c>
      <c r="B48" s="3">
        <v>11.3444481158706</v>
      </c>
      <c r="C48" s="3"/>
    </row>
    <row r="49" spans="1:3" x14ac:dyDescent="0.25">
      <c r="A49" s="46" t="s">
        <v>204</v>
      </c>
      <c r="B49" s="3">
        <v>13.086162605012801</v>
      </c>
      <c r="C49" s="3"/>
    </row>
    <row r="50" spans="1:3" x14ac:dyDescent="0.25">
      <c r="A50" s="46" t="s">
        <v>207</v>
      </c>
      <c r="B50" s="3">
        <v>15.388670819341</v>
      </c>
      <c r="C50" s="3"/>
    </row>
    <row r="51" spans="1:3" x14ac:dyDescent="0.25">
      <c r="A51" s="46" t="s">
        <v>209</v>
      </c>
      <c r="B51" s="3">
        <v>26.105793557092301</v>
      </c>
      <c r="C51" s="3"/>
    </row>
    <row r="52" spans="1:3" x14ac:dyDescent="0.25">
      <c r="A52" s="46" t="s">
        <v>212</v>
      </c>
      <c r="B52" s="3">
        <v>5.7483612618543063</v>
      </c>
      <c r="C52" s="3"/>
    </row>
    <row r="53" spans="1:3" x14ac:dyDescent="0.25">
      <c r="A53" s="46" t="s">
        <v>225</v>
      </c>
      <c r="B53" s="3">
        <v>13.312585314294999</v>
      </c>
      <c r="C53" s="3"/>
    </row>
    <row r="54" spans="1:3" x14ac:dyDescent="0.25">
      <c r="A54" s="35" t="s">
        <v>73</v>
      </c>
      <c r="B54" s="47"/>
      <c r="C54" s="3"/>
    </row>
    <row r="55" spans="1:3" x14ac:dyDescent="0.25">
      <c r="A55" s="46" t="s">
        <v>189</v>
      </c>
      <c r="B55" s="3">
        <v>9.6860391268626298</v>
      </c>
      <c r="C55" s="3"/>
    </row>
    <row r="56" spans="1:3" x14ac:dyDescent="0.25">
      <c r="A56" s="46" t="s">
        <v>193</v>
      </c>
      <c r="B56" s="3">
        <v>15.949072932821201</v>
      </c>
      <c r="C56" s="3"/>
    </row>
    <row r="57" spans="1:3" x14ac:dyDescent="0.25">
      <c r="A57" s="46" t="s">
        <v>204</v>
      </c>
      <c r="B57" s="3">
        <v>11.528153856835401</v>
      </c>
      <c r="C57" s="3"/>
    </row>
    <row r="58" spans="1:3" x14ac:dyDescent="0.25">
      <c r="A58" s="46" t="s">
        <v>207</v>
      </c>
      <c r="B58" s="3">
        <v>8.0751695084623805</v>
      </c>
      <c r="C58" s="3"/>
    </row>
    <row r="59" spans="1:3" x14ac:dyDescent="0.25">
      <c r="A59" s="46" t="s">
        <v>209</v>
      </c>
      <c r="B59" s="3">
        <v>41.2255966436161</v>
      </c>
      <c r="C59" s="3"/>
    </row>
    <row r="60" spans="1:3" x14ac:dyDescent="0.25">
      <c r="A60" s="46" t="s">
        <v>212</v>
      </c>
      <c r="B60" s="3">
        <v>7.3253973244744639</v>
      </c>
      <c r="C60" s="3"/>
    </row>
    <row r="61" spans="1:3" x14ac:dyDescent="0.25">
      <c r="A61" s="46" t="s">
        <v>225</v>
      </c>
      <c r="B61" s="3">
        <v>16.5066381055222</v>
      </c>
      <c r="C61" s="3"/>
    </row>
    <row r="62" spans="1:3" x14ac:dyDescent="0.25">
      <c r="A62" s="35" t="s">
        <v>72</v>
      </c>
      <c r="B62" s="47"/>
      <c r="C62" s="3"/>
    </row>
    <row r="63" spans="1:3" x14ac:dyDescent="0.25">
      <c r="A63" s="46" t="s">
        <v>189</v>
      </c>
      <c r="B63" s="3">
        <v>29.552645358509999</v>
      </c>
      <c r="C63" s="3"/>
    </row>
    <row r="64" spans="1:3" x14ac:dyDescent="0.25">
      <c r="A64" s="46" t="s">
        <v>193</v>
      </c>
      <c r="B64" s="3">
        <v>29.6273446206276</v>
      </c>
      <c r="C64" s="3"/>
    </row>
    <row r="65" spans="1:3" x14ac:dyDescent="0.25">
      <c r="A65" s="46" t="s">
        <v>204</v>
      </c>
      <c r="B65" s="3">
        <v>28.114455321807998</v>
      </c>
      <c r="C65" s="3"/>
    </row>
    <row r="66" spans="1:3" x14ac:dyDescent="0.25">
      <c r="A66" s="46" t="s">
        <v>207</v>
      </c>
      <c r="B66" s="3">
        <v>11.7337168994547</v>
      </c>
      <c r="C66" s="3"/>
    </row>
    <row r="67" spans="1:3" x14ac:dyDescent="0.25">
      <c r="A67" s="46" t="s">
        <v>209</v>
      </c>
      <c r="B67" s="3">
        <v>56.328928782256703</v>
      </c>
      <c r="C67" s="3"/>
    </row>
    <row r="68" spans="1:3" x14ac:dyDescent="0.25">
      <c r="A68" s="46" t="s">
        <v>212</v>
      </c>
      <c r="B68" s="3">
        <v>34.410468205482665</v>
      </c>
      <c r="C68" s="3"/>
    </row>
    <row r="69" spans="1:3" x14ac:dyDescent="0.25">
      <c r="A69" s="46" t="s">
        <v>225</v>
      </c>
      <c r="B69" s="3">
        <v>35.031615577851298</v>
      </c>
      <c r="C69" s="3"/>
    </row>
    <row r="70" spans="1:3" x14ac:dyDescent="0.25">
      <c r="A70" s="35" t="s">
        <v>75</v>
      </c>
      <c r="B70" s="47"/>
      <c r="C70" s="3"/>
    </row>
    <row r="71" spans="1:3" x14ac:dyDescent="0.25">
      <c r="A71" s="46" t="s">
        <v>193</v>
      </c>
      <c r="B71" s="3">
        <v>12.140424434118399</v>
      </c>
      <c r="C71" s="3"/>
    </row>
    <row r="72" spans="1:3" x14ac:dyDescent="0.25">
      <c r="A72" s="46" t="s">
        <v>204</v>
      </c>
      <c r="B72" s="3">
        <v>7.80115253766576</v>
      </c>
      <c r="C72" s="3"/>
    </row>
    <row r="73" spans="1:3" x14ac:dyDescent="0.25">
      <c r="A73" s="46" t="s">
        <v>207</v>
      </c>
      <c r="B73" s="3">
        <v>2.58272121260452</v>
      </c>
      <c r="C73" s="3"/>
    </row>
    <row r="74" spans="1:3" x14ac:dyDescent="0.25">
      <c r="A74" s="46" t="s">
        <v>209</v>
      </c>
      <c r="B74" s="3">
        <v>4.68657762691854</v>
      </c>
      <c r="C74" s="3"/>
    </row>
    <row r="75" spans="1:3" x14ac:dyDescent="0.25">
      <c r="A75" s="46" t="s">
        <v>212</v>
      </c>
      <c r="B75" s="3">
        <v>5.2249379927641204</v>
      </c>
      <c r="C75" s="3"/>
    </row>
    <row r="76" spans="1:3" x14ac:dyDescent="0.25">
      <c r="A76" s="46" t="s">
        <v>225</v>
      </c>
      <c r="B76" s="3">
        <v>4.8515895587226101</v>
      </c>
      <c r="C76" s="3"/>
    </row>
    <row r="77" spans="1:3" x14ac:dyDescent="0.25">
      <c r="A77" s="35" t="s">
        <v>77</v>
      </c>
      <c r="B77" s="47"/>
      <c r="C77" s="3"/>
    </row>
    <row r="78" spans="1:3" x14ac:dyDescent="0.25">
      <c r="A78" s="46" t="s">
        <v>193</v>
      </c>
      <c r="B78" s="3">
        <v>3.9241860824760102</v>
      </c>
      <c r="C78" s="3"/>
    </row>
    <row r="79" spans="1:3" x14ac:dyDescent="0.25">
      <c r="A79" s="46" t="s">
        <v>225</v>
      </c>
      <c r="B79" s="3">
        <v>21.915605845497801</v>
      </c>
      <c r="C79" s="3"/>
    </row>
    <row r="80" spans="1:3" x14ac:dyDescent="0.25">
      <c r="A80" s="35" t="s">
        <v>76</v>
      </c>
      <c r="B80" s="47"/>
      <c r="C80" s="3"/>
    </row>
    <row r="81" spans="1:3" x14ac:dyDescent="0.25">
      <c r="A81" s="46" t="s">
        <v>193</v>
      </c>
      <c r="B81" s="3">
        <v>1.5538389339591001</v>
      </c>
      <c r="C81" s="3"/>
    </row>
    <row r="82" spans="1:3" x14ac:dyDescent="0.25">
      <c r="A82" s="46" t="s">
        <v>225</v>
      </c>
      <c r="B82" s="3">
        <v>8.3000588730889397</v>
      </c>
      <c r="C82" s="3"/>
    </row>
    <row r="83" spans="1:3" x14ac:dyDescent="0.25">
      <c r="A83" s="9" t="s">
        <v>78</v>
      </c>
      <c r="B83" s="11"/>
      <c r="C83" s="3"/>
    </row>
    <row r="84" spans="1:3" x14ac:dyDescent="0.25">
      <c r="A84" s="35" t="s">
        <v>79</v>
      </c>
      <c r="B84" s="47"/>
      <c r="C84" s="3"/>
    </row>
    <row r="85" spans="1:3" x14ac:dyDescent="0.25">
      <c r="A85" s="46" t="s">
        <v>193</v>
      </c>
      <c r="B85" s="3">
        <v>21.395132855525901</v>
      </c>
      <c r="C85" s="3"/>
    </row>
    <row r="86" spans="1:3" x14ac:dyDescent="0.25">
      <c r="A86" s="46" t="s">
        <v>204</v>
      </c>
      <c r="B86" s="3">
        <v>8.9618482260640207</v>
      </c>
      <c r="C86" s="3"/>
    </row>
    <row r="87" spans="1:3" x14ac:dyDescent="0.25">
      <c r="A87" s="46" t="s">
        <v>207</v>
      </c>
      <c r="B87" s="3">
        <v>6.4311810902689803</v>
      </c>
      <c r="C87" s="3"/>
    </row>
    <row r="88" spans="1:3" x14ac:dyDescent="0.25">
      <c r="A88" s="46" t="s">
        <v>225</v>
      </c>
      <c r="B88" s="3">
        <v>26.327877875334099</v>
      </c>
      <c r="C88" s="3"/>
    </row>
    <row r="89" spans="1:3" x14ac:dyDescent="0.25">
      <c r="A89" s="35" t="s">
        <v>80</v>
      </c>
      <c r="B89" s="47"/>
      <c r="C89" s="3"/>
    </row>
    <row r="90" spans="1:3" x14ac:dyDescent="0.25">
      <c r="A90" s="46" t="s">
        <v>193</v>
      </c>
      <c r="B90" s="3">
        <v>20.424581531548299</v>
      </c>
      <c r="C90" s="3"/>
    </row>
    <row r="91" spans="1:3" x14ac:dyDescent="0.25">
      <c r="A91" s="46" t="s">
        <v>204</v>
      </c>
      <c r="B91" s="3">
        <v>6.2013122266194598</v>
      </c>
      <c r="C91" s="3"/>
    </row>
    <row r="92" spans="1:3" x14ac:dyDescent="0.25">
      <c r="A92" s="46" t="s">
        <v>207</v>
      </c>
      <c r="B92" s="3">
        <v>6.48409864422766</v>
      </c>
      <c r="C92" s="3"/>
    </row>
    <row r="93" spans="1:3" x14ac:dyDescent="0.25">
      <c r="A93" s="46" t="s">
        <v>225</v>
      </c>
      <c r="B93" s="3">
        <v>28.448751445540601</v>
      </c>
      <c r="C93" s="3"/>
    </row>
    <row r="94" spans="1:3" x14ac:dyDescent="0.25">
      <c r="A94" s="9" t="s">
        <v>81</v>
      </c>
      <c r="B94" s="11"/>
      <c r="C94" s="3"/>
    </row>
    <row r="95" spans="1:3" x14ac:dyDescent="0.25">
      <c r="A95" s="35" t="s">
        <v>82</v>
      </c>
      <c r="B95" s="47"/>
      <c r="C95" s="3"/>
    </row>
    <row r="96" spans="1:3" x14ac:dyDescent="0.25">
      <c r="A96" s="46" t="s">
        <v>189</v>
      </c>
      <c r="B96" s="3">
        <v>4.3391754582912503</v>
      </c>
      <c r="C96" s="3"/>
    </row>
    <row r="97" spans="1:3" x14ac:dyDescent="0.25">
      <c r="A97" s="46" t="s">
        <v>193</v>
      </c>
      <c r="B97" s="3">
        <v>13.2917907066902</v>
      </c>
      <c r="C97" s="3"/>
    </row>
    <row r="98" spans="1:3" x14ac:dyDescent="0.25">
      <c r="A98" s="46" t="s">
        <v>204</v>
      </c>
      <c r="B98" s="3">
        <v>9.5459279316809003</v>
      </c>
      <c r="C98" s="3"/>
    </row>
    <row r="99" spans="1:3" x14ac:dyDescent="0.25">
      <c r="A99" s="46" t="s">
        <v>207</v>
      </c>
      <c r="B99" s="3">
        <v>10.7218348165016</v>
      </c>
      <c r="C99" s="3"/>
    </row>
    <row r="100" spans="1:3" x14ac:dyDescent="0.25">
      <c r="A100" s="46" t="s">
        <v>209</v>
      </c>
      <c r="B100" s="3">
        <v>35.4456116124136</v>
      </c>
      <c r="C100" s="3"/>
    </row>
    <row r="101" spans="1:3" x14ac:dyDescent="0.25">
      <c r="A101" s="46" t="s">
        <v>212</v>
      </c>
      <c r="B101" s="3">
        <v>34.344799916722131</v>
      </c>
      <c r="C101" s="3"/>
    </row>
    <row r="102" spans="1:3" x14ac:dyDescent="0.25">
      <c r="A102" s="46" t="s">
        <v>225</v>
      </c>
      <c r="B102" s="3">
        <v>16.394091764519398</v>
      </c>
      <c r="C102" s="3"/>
    </row>
    <row r="103" spans="1:3" x14ac:dyDescent="0.25">
      <c r="A103" s="35" t="s">
        <v>83</v>
      </c>
      <c r="B103" s="47"/>
      <c r="C103" s="3"/>
    </row>
    <row r="104" spans="1:3" x14ac:dyDescent="0.25">
      <c r="A104" s="46" t="s">
        <v>189</v>
      </c>
      <c r="B104" s="3">
        <v>7.4137884344391196</v>
      </c>
      <c r="C104" s="3"/>
    </row>
    <row r="105" spans="1:3" x14ac:dyDescent="0.25">
      <c r="A105" s="46" t="s">
        <v>193</v>
      </c>
      <c r="B105" s="3">
        <v>25.849409939056301</v>
      </c>
      <c r="C105" s="3"/>
    </row>
    <row r="106" spans="1:3" x14ac:dyDescent="0.25">
      <c r="A106" s="46" t="s">
        <v>204</v>
      </c>
      <c r="B106" s="3">
        <v>14.2045060056933</v>
      </c>
      <c r="C106" s="3"/>
    </row>
    <row r="107" spans="1:3" x14ac:dyDescent="0.25">
      <c r="A107" s="46" t="s">
        <v>207</v>
      </c>
      <c r="B107" s="3">
        <v>20.1186633075096</v>
      </c>
      <c r="C107" s="3"/>
    </row>
    <row r="108" spans="1:3" x14ac:dyDescent="0.25">
      <c r="A108" s="46" t="s">
        <v>209</v>
      </c>
      <c r="B108" s="3">
        <v>28.415679288244199</v>
      </c>
      <c r="C108" s="3"/>
    </row>
    <row r="109" spans="1:3" x14ac:dyDescent="0.25">
      <c r="A109" s="46" t="s">
        <v>212</v>
      </c>
      <c r="B109" s="3">
        <v>27.381468477187166</v>
      </c>
      <c r="C109" s="3"/>
    </row>
    <row r="110" spans="1:3" x14ac:dyDescent="0.25">
      <c r="A110" s="46" t="s">
        <v>225</v>
      </c>
      <c r="B110" s="3">
        <v>31.0744452508346</v>
      </c>
      <c r="C110" s="3"/>
    </row>
    <row r="111" spans="1:3" x14ac:dyDescent="0.25">
      <c r="A111" s="35" t="s">
        <v>84</v>
      </c>
      <c r="B111" s="47"/>
      <c r="C111" s="3"/>
    </row>
    <row r="112" spans="1:3" x14ac:dyDescent="0.25">
      <c r="A112" s="46" t="s">
        <v>189</v>
      </c>
      <c r="B112" s="3">
        <v>18.997341064881699</v>
      </c>
      <c r="C112" s="3"/>
    </row>
    <row r="113" spans="1:3" x14ac:dyDescent="0.25">
      <c r="A113" s="46" t="s">
        <v>193</v>
      </c>
      <c r="B113" s="3">
        <v>18.865782244881899</v>
      </c>
      <c r="C113" s="3"/>
    </row>
    <row r="114" spans="1:3" x14ac:dyDescent="0.25">
      <c r="A114" s="46" t="s">
        <v>204</v>
      </c>
      <c r="B114" s="3">
        <v>29.743803374296998</v>
      </c>
      <c r="C114" s="3"/>
    </row>
    <row r="115" spans="1:3" x14ac:dyDescent="0.25">
      <c r="A115" s="46" t="s">
        <v>207</v>
      </c>
      <c r="B115" s="3">
        <v>13.879855985492201</v>
      </c>
      <c r="C115" s="3"/>
    </row>
    <row r="116" spans="1:3" x14ac:dyDescent="0.25">
      <c r="A116" s="46" t="s">
        <v>209</v>
      </c>
      <c r="B116" s="3">
        <v>47.249088168325201</v>
      </c>
      <c r="C116" s="3"/>
    </row>
    <row r="117" spans="1:3" x14ac:dyDescent="0.25">
      <c r="A117" s="46" t="s">
        <v>225</v>
      </c>
      <c r="B117" s="3">
        <v>32.100634195185897</v>
      </c>
      <c r="C117" s="3"/>
    </row>
    <row r="118" spans="1:3" x14ac:dyDescent="0.25">
      <c r="A118" s="35" t="s">
        <v>85</v>
      </c>
      <c r="B118" s="47"/>
      <c r="C118" s="3"/>
    </row>
    <row r="119" spans="1:3" x14ac:dyDescent="0.25">
      <c r="A119" s="46" t="s">
        <v>193</v>
      </c>
      <c r="B119" s="3">
        <v>9.5881855084597198</v>
      </c>
      <c r="C119" s="3"/>
    </row>
    <row r="120" spans="1:3" x14ac:dyDescent="0.25">
      <c r="A120" s="46" t="s">
        <v>225</v>
      </c>
      <c r="B120" s="3">
        <v>6.1119129944495603</v>
      </c>
      <c r="C120" s="3"/>
    </row>
    <row r="121" spans="1:3" x14ac:dyDescent="0.25">
      <c r="A121" s="35" t="s">
        <v>87</v>
      </c>
      <c r="B121" s="47"/>
      <c r="C121" s="3"/>
    </row>
    <row r="122" spans="1:3" x14ac:dyDescent="0.25">
      <c r="A122" s="46" t="s">
        <v>207</v>
      </c>
      <c r="B122" s="3">
        <v>3.2699602552250502</v>
      </c>
      <c r="C122" s="3"/>
    </row>
    <row r="123" spans="1:3" x14ac:dyDescent="0.25">
      <c r="A123" s="46" t="s">
        <v>209</v>
      </c>
      <c r="B123" s="3">
        <v>15.4373629617136</v>
      </c>
      <c r="C123" s="3"/>
    </row>
    <row r="124" spans="1:3" x14ac:dyDescent="0.25">
      <c r="A124" s="46" t="s">
        <v>225</v>
      </c>
      <c r="B124" s="3">
        <v>9.7206289337288094</v>
      </c>
      <c r="C124" s="3"/>
    </row>
    <row r="125" spans="1:3" x14ac:dyDescent="0.25">
      <c r="A125" s="35" t="s">
        <v>86</v>
      </c>
      <c r="B125" s="47"/>
      <c r="C125" s="3"/>
    </row>
    <row r="126" spans="1:3" x14ac:dyDescent="0.25">
      <c r="A126" s="46" t="s">
        <v>193</v>
      </c>
      <c r="B126" s="3">
        <v>9.8005490674783502</v>
      </c>
      <c r="C126" s="3"/>
    </row>
    <row r="127" spans="1:3" x14ac:dyDescent="0.25">
      <c r="A127" s="46" t="s">
        <v>203</v>
      </c>
      <c r="B127" s="3">
        <v>12.6003406994183</v>
      </c>
      <c r="C127" s="3"/>
    </row>
    <row r="128" spans="1:3" x14ac:dyDescent="0.25">
      <c r="A128" s="46" t="s">
        <v>207</v>
      </c>
      <c r="B128" s="3">
        <v>6.37654063920467</v>
      </c>
    </row>
    <row r="129" spans="1:2" x14ac:dyDescent="0.25">
      <c r="A129" s="46" t="s">
        <v>209</v>
      </c>
      <c r="B129" s="3">
        <v>14.354760499240999</v>
      </c>
    </row>
    <row r="130" spans="1:2" x14ac:dyDescent="0.25">
      <c r="A130" s="46" t="s">
        <v>225</v>
      </c>
      <c r="B130" s="3">
        <v>3.8460747188178099</v>
      </c>
    </row>
    <row r="132" spans="1:2" x14ac:dyDescent="0.25">
      <c r="A132" t="s">
        <v>23</v>
      </c>
    </row>
  </sheetData>
  <hyperlinks>
    <hyperlink ref="D1" location="Contents!A1" display="Return to Contents" xr:uid="{E4A0BC76-FD9D-49D9-BC2E-DE435883735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4D00-94D2-4036-919C-03808C330D27}">
  <sheetPr codeName="Sheet18"/>
  <dimension ref="A1:K94"/>
  <sheetViews>
    <sheetView workbookViewId="0"/>
  </sheetViews>
  <sheetFormatPr defaultRowHeight="15" x14ac:dyDescent="0.25"/>
  <cols>
    <col min="1" max="1" width="47.28515625" bestFit="1" customWidth="1"/>
  </cols>
  <sheetData>
    <row r="1" spans="1:11" x14ac:dyDescent="0.25">
      <c r="J1" s="12"/>
      <c r="K1" s="34" t="s">
        <v>17</v>
      </c>
    </row>
    <row r="2" spans="1:11" x14ac:dyDescent="0.25">
      <c r="A2" s="6"/>
      <c r="B2" s="6">
        <v>2015</v>
      </c>
      <c r="C2" s="6">
        <v>2016</v>
      </c>
      <c r="D2" s="6">
        <v>2017</v>
      </c>
      <c r="E2" s="6">
        <v>2018</v>
      </c>
      <c r="F2" s="6">
        <v>2019</v>
      </c>
      <c r="G2" s="6">
        <v>2020</v>
      </c>
      <c r="H2" s="6">
        <v>2021</v>
      </c>
      <c r="I2" s="6">
        <v>2022</v>
      </c>
      <c r="J2" s="6">
        <v>2023</v>
      </c>
    </row>
    <row r="3" spans="1:11" x14ac:dyDescent="0.25">
      <c r="A3" s="9" t="s">
        <v>88</v>
      </c>
      <c r="B3" s="8"/>
      <c r="C3" s="8"/>
      <c r="D3" s="8"/>
      <c r="E3" s="8"/>
      <c r="F3" s="8"/>
      <c r="G3" s="8"/>
      <c r="H3" s="8"/>
      <c r="I3" s="8"/>
      <c r="J3" s="8"/>
    </row>
    <row r="4" spans="1:11" x14ac:dyDescent="0.25">
      <c r="A4" s="7" t="s">
        <v>183</v>
      </c>
      <c r="B4" s="4">
        <v>629.240128004349</v>
      </c>
      <c r="C4" s="4">
        <v>528.48345005988199</v>
      </c>
      <c r="D4" s="4">
        <v>390.86126027303101</v>
      </c>
      <c r="E4" s="4">
        <v>114.56385515026399</v>
      </c>
      <c r="F4" s="4" t="s">
        <v>89</v>
      </c>
      <c r="G4" s="4">
        <v>238.65971106069298</v>
      </c>
      <c r="H4" s="4">
        <v>250.01272175256699</v>
      </c>
      <c r="I4" s="4" t="s">
        <v>89</v>
      </c>
      <c r="J4" s="4">
        <v>413.92573550326</v>
      </c>
    </row>
    <row r="5" spans="1:11" x14ac:dyDescent="0.25">
      <c r="A5" s="7" t="s">
        <v>184</v>
      </c>
      <c r="B5" s="4">
        <v>60.465009348240898</v>
      </c>
      <c r="C5" s="4">
        <v>78.340485752300097</v>
      </c>
      <c r="D5" s="4">
        <v>72.806041548953502</v>
      </c>
      <c r="E5" s="4">
        <v>176.30862258516601</v>
      </c>
      <c r="F5" s="4">
        <v>55.687267999124799</v>
      </c>
      <c r="G5" s="4">
        <v>57.897119205326298</v>
      </c>
      <c r="H5" s="4">
        <v>73.695321421202308</v>
      </c>
      <c r="I5" s="4">
        <v>100.03968137551001</v>
      </c>
      <c r="J5" s="4">
        <v>230.62614063103899</v>
      </c>
    </row>
    <row r="6" spans="1:11" x14ac:dyDescent="0.25">
      <c r="A6" s="7" t="s">
        <v>185</v>
      </c>
      <c r="B6" s="4">
        <v>106.594821523536</v>
      </c>
      <c r="C6" s="4">
        <v>87.460603339143205</v>
      </c>
      <c r="D6" s="4">
        <v>101.261537551375</v>
      </c>
      <c r="E6" s="4">
        <v>40.651080027156894</v>
      </c>
      <c r="F6" s="4" t="s">
        <v>89</v>
      </c>
      <c r="G6" s="4">
        <v>95.475085336450206</v>
      </c>
      <c r="H6" s="4">
        <v>79.153032482482004</v>
      </c>
      <c r="I6" s="4">
        <v>70.986767709365907</v>
      </c>
      <c r="J6" s="4" t="s">
        <v>89</v>
      </c>
    </row>
    <row r="7" spans="1:11" x14ac:dyDescent="0.25">
      <c r="A7" s="7" t="s">
        <v>186</v>
      </c>
      <c r="B7" s="4" t="s">
        <v>89</v>
      </c>
      <c r="C7" s="4">
        <v>86.673046220287105</v>
      </c>
      <c r="D7" s="4">
        <v>100.20328191353001</v>
      </c>
      <c r="E7" s="4">
        <v>126.14082052766301</v>
      </c>
      <c r="F7" s="4" t="s">
        <v>89</v>
      </c>
      <c r="G7" s="4">
        <v>91.145909714353394</v>
      </c>
      <c r="H7" s="4" t="s">
        <v>89</v>
      </c>
      <c r="I7" s="4" t="s">
        <v>89</v>
      </c>
      <c r="J7" s="4" t="s">
        <v>89</v>
      </c>
    </row>
    <row r="8" spans="1:11" x14ac:dyDescent="0.25">
      <c r="A8" s="7" t="s">
        <v>187</v>
      </c>
      <c r="B8" s="4">
        <v>6.9055259632051502</v>
      </c>
      <c r="C8" s="4" t="s">
        <v>89</v>
      </c>
      <c r="D8" s="4">
        <v>9.3448842888167203</v>
      </c>
      <c r="E8" s="4" t="s">
        <v>89</v>
      </c>
      <c r="F8" s="4">
        <v>6.6053978515601504</v>
      </c>
      <c r="G8" s="4">
        <v>7.3095034138844097</v>
      </c>
      <c r="H8" s="4">
        <v>5.5829320874882704</v>
      </c>
      <c r="I8" s="4">
        <v>3.20509092328918</v>
      </c>
      <c r="J8" s="4">
        <v>2.53302510914942</v>
      </c>
    </row>
    <row r="9" spans="1:11" x14ac:dyDescent="0.25">
      <c r="A9" s="7" t="s">
        <v>189</v>
      </c>
      <c r="B9" s="4">
        <v>29.705373216927597</v>
      </c>
      <c r="C9" s="4">
        <v>20.471664583500502</v>
      </c>
      <c r="D9" s="4">
        <v>22.528197347119498</v>
      </c>
      <c r="E9" s="4">
        <v>19.834846428636801</v>
      </c>
      <c r="F9" s="4">
        <v>24.8191868987623</v>
      </c>
      <c r="G9" s="4">
        <v>20.522607366850302</v>
      </c>
      <c r="H9" s="4">
        <v>24.030807132467999</v>
      </c>
      <c r="I9" s="4">
        <v>20.577750803977001</v>
      </c>
      <c r="J9" s="4">
        <v>16.646515169568101</v>
      </c>
    </row>
    <row r="10" spans="1:11" x14ac:dyDescent="0.25">
      <c r="A10" s="7" t="s">
        <v>188</v>
      </c>
      <c r="B10" s="4">
        <v>502.837787291589</v>
      </c>
      <c r="C10" s="4">
        <v>390.49562118723497</v>
      </c>
      <c r="D10" s="4">
        <v>524.54925230195897</v>
      </c>
      <c r="E10" s="4">
        <v>321.49342720919299</v>
      </c>
      <c r="F10" s="4">
        <v>151.411572152323</v>
      </c>
      <c r="G10" s="4">
        <v>192.47686053647502</v>
      </c>
      <c r="H10" s="4">
        <v>261.828457187391</v>
      </c>
      <c r="I10" s="4">
        <v>404.11705969426299</v>
      </c>
      <c r="J10" s="4">
        <v>223.66439617208098</v>
      </c>
    </row>
    <row r="11" spans="1:11" x14ac:dyDescent="0.25">
      <c r="A11" s="7" t="s">
        <v>190</v>
      </c>
      <c r="B11" s="4">
        <v>5.6773677624543497</v>
      </c>
      <c r="C11" s="4">
        <v>81.635750608760802</v>
      </c>
      <c r="D11" s="4">
        <v>11.000724684503401</v>
      </c>
      <c r="E11" s="4">
        <v>25.541995751465702</v>
      </c>
      <c r="F11" s="4">
        <v>11.0483315458814</v>
      </c>
      <c r="G11" s="4" t="s">
        <v>89</v>
      </c>
      <c r="H11" s="4" t="s">
        <v>89</v>
      </c>
      <c r="I11" s="4" t="s">
        <v>89</v>
      </c>
      <c r="J11" s="4" t="s">
        <v>89</v>
      </c>
    </row>
    <row r="12" spans="1:11" x14ac:dyDescent="0.25">
      <c r="A12" s="7" t="s">
        <v>191</v>
      </c>
      <c r="B12" s="4">
        <v>87.5789565451621</v>
      </c>
      <c r="C12" s="4">
        <v>26.322023925478202</v>
      </c>
      <c r="D12" s="4">
        <v>31.820295305664597</v>
      </c>
      <c r="E12" s="4">
        <v>20.5260597758015</v>
      </c>
      <c r="F12" s="4">
        <v>38.403238926784297</v>
      </c>
      <c r="G12" s="4">
        <v>37.559545822120299</v>
      </c>
      <c r="H12" s="4">
        <v>46.995097875233505</v>
      </c>
      <c r="I12" s="4">
        <v>75.705170404594597</v>
      </c>
      <c r="J12" s="4" t="s">
        <v>89</v>
      </c>
    </row>
    <row r="13" spans="1:11" x14ac:dyDescent="0.25">
      <c r="A13" s="7" t="s">
        <v>192</v>
      </c>
      <c r="B13" s="4" t="s">
        <v>89</v>
      </c>
      <c r="C13" s="4" t="s">
        <v>89</v>
      </c>
      <c r="D13" s="4" t="s">
        <v>89</v>
      </c>
      <c r="E13" s="4" t="s">
        <v>89</v>
      </c>
      <c r="F13" s="4" t="s">
        <v>89</v>
      </c>
      <c r="G13" s="4" t="s">
        <v>89</v>
      </c>
      <c r="H13" s="4" t="s">
        <v>89</v>
      </c>
      <c r="I13" s="4" t="s">
        <v>89</v>
      </c>
      <c r="J13" s="4" t="s">
        <v>89</v>
      </c>
    </row>
    <row r="14" spans="1:11" x14ac:dyDescent="0.25">
      <c r="A14" s="7" t="s">
        <v>193</v>
      </c>
      <c r="B14" s="4">
        <v>197.39457052130498</v>
      </c>
      <c r="C14" s="4">
        <v>472.676742978172</v>
      </c>
      <c r="D14" s="4">
        <v>314.57366106510102</v>
      </c>
      <c r="E14" s="4">
        <v>314.34616397330399</v>
      </c>
      <c r="F14" s="4">
        <v>250.94400093950401</v>
      </c>
      <c r="G14" s="4">
        <v>293.57123268584797</v>
      </c>
      <c r="H14" s="4">
        <v>335.02349870168899</v>
      </c>
      <c r="I14" s="4">
        <v>446.04061908067501</v>
      </c>
      <c r="J14" s="4">
        <v>402.97579879807699</v>
      </c>
    </row>
    <row r="15" spans="1:11" x14ac:dyDescent="0.25">
      <c r="A15" s="7" t="s">
        <v>249</v>
      </c>
      <c r="B15" s="4">
        <v>1047.46867987822</v>
      </c>
      <c r="C15" s="4">
        <v>600.98813689358497</v>
      </c>
      <c r="D15" s="4">
        <v>1634.6867490898801</v>
      </c>
      <c r="E15" s="4" t="s">
        <v>89</v>
      </c>
      <c r="F15" s="4">
        <v>332.93539326430101</v>
      </c>
      <c r="G15" s="4">
        <v>138.979599908903</v>
      </c>
      <c r="H15" s="4">
        <v>230.722647453901</v>
      </c>
      <c r="I15" s="4" t="s">
        <v>89</v>
      </c>
      <c r="J15" s="4">
        <v>458.21266925437197</v>
      </c>
    </row>
    <row r="16" spans="1:11" x14ac:dyDescent="0.25">
      <c r="A16" s="7" t="s">
        <v>194</v>
      </c>
      <c r="B16" s="4" t="s">
        <v>89</v>
      </c>
      <c r="C16" s="4" t="s">
        <v>89</v>
      </c>
      <c r="D16" s="4" t="s">
        <v>89</v>
      </c>
      <c r="E16" s="4" t="s">
        <v>89</v>
      </c>
      <c r="F16" s="4" t="s">
        <v>89</v>
      </c>
      <c r="G16" s="4" t="s">
        <v>89</v>
      </c>
      <c r="H16" s="4" t="s">
        <v>89</v>
      </c>
      <c r="I16" s="4" t="s">
        <v>89</v>
      </c>
      <c r="J16" s="4" t="s">
        <v>89</v>
      </c>
    </row>
    <row r="17" spans="1:10" x14ac:dyDescent="0.25">
      <c r="A17" s="7" t="s">
        <v>195</v>
      </c>
      <c r="B17" s="4" t="s">
        <v>89</v>
      </c>
      <c r="C17" s="4" t="s">
        <v>89</v>
      </c>
      <c r="D17" s="4" t="s">
        <v>89</v>
      </c>
      <c r="E17" s="4" t="s">
        <v>89</v>
      </c>
      <c r="F17" s="4" t="s">
        <v>89</v>
      </c>
      <c r="G17" s="4" t="s">
        <v>89</v>
      </c>
      <c r="H17" s="4" t="s">
        <v>89</v>
      </c>
      <c r="I17" s="4" t="s">
        <v>89</v>
      </c>
      <c r="J17" s="4" t="s">
        <v>89</v>
      </c>
    </row>
    <row r="18" spans="1:10" x14ac:dyDescent="0.25">
      <c r="A18" s="7" t="s">
        <v>196</v>
      </c>
      <c r="B18" s="4" t="s">
        <v>89</v>
      </c>
      <c r="C18" s="4" t="s">
        <v>89</v>
      </c>
      <c r="D18" s="4" t="s">
        <v>89</v>
      </c>
      <c r="E18" s="4" t="s">
        <v>89</v>
      </c>
      <c r="F18" s="4" t="s">
        <v>89</v>
      </c>
      <c r="G18" s="4" t="s">
        <v>89</v>
      </c>
      <c r="H18" s="4">
        <v>13.9781358019266</v>
      </c>
      <c r="I18" s="4">
        <v>13.826563458577599</v>
      </c>
      <c r="J18" s="4" t="s">
        <v>89</v>
      </c>
    </row>
    <row r="19" spans="1:10" x14ac:dyDescent="0.25">
      <c r="A19" s="7" t="s">
        <v>197</v>
      </c>
      <c r="B19" s="4">
        <v>820.07116140488995</v>
      </c>
      <c r="C19" s="4">
        <v>509.39123290684904</v>
      </c>
      <c r="D19" s="4">
        <v>63.712863613783902</v>
      </c>
      <c r="E19" s="4" t="s">
        <v>89</v>
      </c>
      <c r="F19" s="4" t="s">
        <v>89</v>
      </c>
      <c r="G19" s="4" t="s">
        <v>89</v>
      </c>
      <c r="H19" s="4" t="s">
        <v>89</v>
      </c>
      <c r="I19" s="4">
        <v>497.129380695306</v>
      </c>
      <c r="J19" s="4" t="s">
        <v>89</v>
      </c>
    </row>
    <row r="20" spans="1:10" x14ac:dyDescent="0.25">
      <c r="A20" s="7" t="s">
        <v>198</v>
      </c>
      <c r="B20" s="4" t="s">
        <v>89</v>
      </c>
      <c r="C20" s="4" t="s">
        <v>89</v>
      </c>
      <c r="D20" s="4" t="s">
        <v>89</v>
      </c>
      <c r="E20" s="4" t="s">
        <v>89</v>
      </c>
      <c r="F20" s="4" t="s">
        <v>89</v>
      </c>
      <c r="G20" s="4" t="s">
        <v>89</v>
      </c>
      <c r="H20" s="4" t="s">
        <v>89</v>
      </c>
      <c r="I20" s="4" t="s">
        <v>89</v>
      </c>
      <c r="J20" s="4" t="s">
        <v>89</v>
      </c>
    </row>
    <row r="21" spans="1:10" x14ac:dyDescent="0.25">
      <c r="A21" s="7" t="s">
        <v>199</v>
      </c>
      <c r="B21" s="4">
        <v>7.3133408778585594</v>
      </c>
      <c r="C21" s="4" t="s">
        <v>89</v>
      </c>
      <c r="D21" s="4">
        <v>4.3878824438261699</v>
      </c>
      <c r="E21" s="4">
        <v>2.6356082979106201</v>
      </c>
      <c r="F21" s="4" t="s">
        <v>89</v>
      </c>
      <c r="G21" s="4" t="s">
        <v>89</v>
      </c>
      <c r="H21" s="4" t="s">
        <v>89</v>
      </c>
      <c r="I21" s="4" t="s">
        <v>89</v>
      </c>
      <c r="J21" s="4" t="s">
        <v>89</v>
      </c>
    </row>
    <row r="22" spans="1:10" x14ac:dyDescent="0.25">
      <c r="A22" s="7" t="s">
        <v>200</v>
      </c>
      <c r="B22" s="4" t="s">
        <v>89</v>
      </c>
      <c r="C22" s="4" t="s">
        <v>89</v>
      </c>
      <c r="D22" s="4">
        <v>335.00472177575699</v>
      </c>
      <c r="E22" s="4">
        <v>393.82209156384801</v>
      </c>
      <c r="F22" s="4">
        <v>136.76037062119499</v>
      </c>
      <c r="G22" s="4" t="s">
        <v>89</v>
      </c>
      <c r="H22" s="4">
        <v>269.63037549305</v>
      </c>
      <c r="I22" s="4" t="s">
        <v>89</v>
      </c>
      <c r="J22" s="4" t="s">
        <v>89</v>
      </c>
    </row>
    <row r="23" spans="1:10" x14ac:dyDescent="0.25">
      <c r="A23" s="7" t="s">
        <v>201</v>
      </c>
      <c r="B23" s="4" t="s">
        <v>89</v>
      </c>
      <c r="C23" s="4">
        <v>62.922731581822099</v>
      </c>
      <c r="D23" s="4">
        <v>73.984774389590797</v>
      </c>
      <c r="E23" s="4">
        <v>53.720207735323697</v>
      </c>
      <c r="F23" s="4" t="s">
        <v>89</v>
      </c>
      <c r="G23" s="4" t="s">
        <v>89</v>
      </c>
      <c r="H23" s="4" t="s">
        <v>89</v>
      </c>
      <c r="I23" s="4" t="s">
        <v>89</v>
      </c>
      <c r="J23" s="4" t="s">
        <v>89</v>
      </c>
    </row>
    <row r="24" spans="1:10" x14ac:dyDescent="0.25">
      <c r="A24" s="7" t="s">
        <v>202</v>
      </c>
      <c r="B24" s="4" t="s">
        <v>89</v>
      </c>
      <c r="C24" s="4">
        <v>3.9657014745163602E-2</v>
      </c>
      <c r="D24" s="4">
        <v>4.6421669804944596E-2</v>
      </c>
      <c r="E24" s="4">
        <v>1.6964784075058401E-2</v>
      </c>
      <c r="F24" s="4">
        <v>3.04615762436704E-2</v>
      </c>
      <c r="G24" s="4">
        <v>1.7523820803409099E-2</v>
      </c>
      <c r="H24" s="4">
        <v>3.2216419766018398E-2</v>
      </c>
      <c r="I24" s="4">
        <v>1.8321608438803701E-2</v>
      </c>
      <c r="J24" s="4">
        <v>2.9643192724332197E-2</v>
      </c>
    </row>
    <row r="25" spans="1:10" x14ac:dyDescent="0.25">
      <c r="A25" s="7" t="s">
        <v>203</v>
      </c>
      <c r="B25" s="4">
        <v>516.33203000501203</v>
      </c>
      <c r="C25" s="4">
        <v>381.10760645271802</v>
      </c>
      <c r="D25" s="4">
        <v>377.25214333141099</v>
      </c>
      <c r="E25" s="4">
        <v>567.59377669864909</v>
      </c>
      <c r="F25" s="4">
        <v>371.87008694812698</v>
      </c>
      <c r="G25" s="4">
        <v>430.87735992820899</v>
      </c>
      <c r="H25" s="4">
        <v>471.19692955817004</v>
      </c>
      <c r="I25" s="4">
        <v>554.76612591027504</v>
      </c>
      <c r="J25" s="4">
        <v>551.18353870868896</v>
      </c>
    </row>
    <row r="26" spans="1:10" x14ac:dyDescent="0.25">
      <c r="A26" s="7" t="s">
        <v>204</v>
      </c>
      <c r="B26" s="4">
        <v>23.073995365981602</v>
      </c>
      <c r="C26" s="4" t="s">
        <v>89</v>
      </c>
      <c r="D26" s="4">
        <v>14.3203046017225</v>
      </c>
      <c r="E26" s="4">
        <v>19.849971532503901</v>
      </c>
      <c r="F26" s="4">
        <v>21.993941402340901</v>
      </c>
      <c r="G26" s="4">
        <v>15.092495028219201</v>
      </c>
      <c r="H26" s="4">
        <v>16.6160336158317</v>
      </c>
      <c r="I26" s="4">
        <v>16.747670109090702</v>
      </c>
      <c r="J26" s="4">
        <v>7.5914964791785895</v>
      </c>
    </row>
    <row r="27" spans="1:10" x14ac:dyDescent="0.25">
      <c r="A27" s="7" t="s">
        <v>205</v>
      </c>
      <c r="B27" s="4" t="s">
        <v>89</v>
      </c>
      <c r="C27" s="4" t="s">
        <v>89</v>
      </c>
      <c r="D27" s="4" t="s">
        <v>89</v>
      </c>
      <c r="E27" s="4" t="s">
        <v>89</v>
      </c>
      <c r="F27" s="4" t="s">
        <v>89</v>
      </c>
      <c r="G27" s="4" t="s">
        <v>89</v>
      </c>
      <c r="H27" s="4" t="s">
        <v>89</v>
      </c>
      <c r="I27" s="4" t="s">
        <v>89</v>
      </c>
      <c r="J27" s="4" t="s">
        <v>89</v>
      </c>
    </row>
    <row r="28" spans="1:10" x14ac:dyDescent="0.25">
      <c r="A28" s="7" t="s">
        <v>206</v>
      </c>
      <c r="B28" s="4">
        <v>87.455188260411205</v>
      </c>
      <c r="C28" s="4">
        <v>52.501390779083806</v>
      </c>
      <c r="D28" s="4">
        <v>84.991154396988605</v>
      </c>
      <c r="E28" s="4" t="s">
        <v>89</v>
      </c>
      <c r="F28" s="4" t="s">
        <v>89</v>
      </c>
      <c r="G28" s="4" t="s">
        <v>89</v>
      </c>
      <c r="H28" s="4">
        <v>92.099688423192504</v>
      </c>
      <c r="I28" s="4">
        <v>186.56129565721</v>
      </c>
      <c r="J28" s="4">
        <v>144.71664708869699</v>
      </c>
    </row>
    <row r="29" spans="1:10" x14ac:dyDescent="0.25">
      <c r="A29" s="7" t="s">
        <v>207</v>
      </c>
      <c r="B29" s="4">
        <v>151.57000318838399</v>
      </c>
      <c r="C29" s="4">
        <v>39.489805542091695</v>
      </c>
      <c r="D29" s="4">
        <v>45.296129039502397</v>
      </c>
      <c r="E29" s="4">
        <v>71.460094958124699</v>
      </c>
      <c r="F29" s="4">
        <v>31.7300739317295</v>
      </c>
      <c r="G29" s="4">
        <v>24.601580643268601</v>
      </c>
      <c r="H29" s="4">
        <v>45.923604697710502</v>
      </c>
      <c r="I29" s="4">
        <v>33.869124550853606</v>
      </c>
      <c r="J29" s="4" t="s">
        <v>89</v>
      </c>
    </row>
    <row r="30" spans="1:10" x14ac:dyDescent="0.25">
      <c r="A30" s="7" t="s">
        <v>208</v>
      </c>
      <c r="B30" s="4">
        <v>131.37216113076201</v>
      </c>
      <c r="C30" s="4">
        <v>127.82289614979901</v>
      </c>
      <c r="D30" s="4">
        <v>157.416007389621</v>
      </c>
      <c r="E30" s="4">
        <v>231.21086451245</v>
      </c>
      <c r="F30" s="4">
        <v>131.33393684189301</v>
      </c>
      <c r="G30" s="4">
        <v>159.96045643644402</v>
      </c>
      <c r="H30" s="4">
        <v>169.732720366427</v>
      </c>
      <c r="I30" s="4" t="s">
        <v>89</v>
      </c>
      <c r="J30" s="4" t="s">
        <v>89</v>
      </c>
    </row>
    <row r="31" spans="1:10" x14ac:dyDescent="0.25">
      <c r="A31" s="7" t="s">
        <v>209</v>
      </c>
      <c r="B31" s="4" t="s">
        <v>89</v>
      </c>
      <c r="C31" s="4" t="s">
        <v>89</v>
      </c>
      <c r="D31" s="4" t="s">
        <v>89</v>
      </c>
      <c r="E31" s="4" t="s">
        <v>89</v>
      </c>
      <c r="F31" s="4" t="s">
        <v>89</v>
      </c>
      <c r="G31" s="4" t="s">
        <v>89</v>
      </c>
      <c r="H31" s="4" t="s">
        <v>89</v>
      </c>
      <c r="I31" s="4" t="s">
        <v>89</v>
      </c>
      <c r="J31" s="4" t="s">
        <v>89</v>
      </c>
    </row>
    <row r="32" spans="1:10" x14ac:dyDescent="0.25">
      <c r="A32" s="7" t="s">
        <v>210</v>
      </c>
      <c r="B32" s="4" t="s">
        <v>89</v>
      </c>
      <c r="C32" s="4" t="s">
        <v>89</v>
      </c>
      <c r="D32" s="4">
        <v>1.75661949185329</v>
      </c>
      <c r="E32" s="4">
        <v>1.9410182369253299</v>
      </c>
      <c r="F32" s="4">
        <v>3.4549095153081599</v>
      </c>
      <c r="G32" s="4">
        <v>1.68112901461167</v>
      </c>
      <c r="H32" s="4">
        <v>156.97023554571101</v>
      </c>
      <c r="I32" s="4">
        <v>94.242008347581006</v>
      </c>
      <c r="J32" s="4" t="s">
        <v>89</v>
      </c>
    </row>
    <row r="33" spans="1:10" x14ac:dyDescent="0.25">
      <c r="A33" s="7" t="s">
        <v>211</v>
      </c>
      <c r="B33" s="4">
        <v>28.393500396484598</v>
      </c>
      <c r="C33" s="4">
        <v>40.799511012916398</v>
      </c>
      <c r="D33" s="4">
        <v>42.109921504706001</v>
      </c>
      <c r="E33" s="4">
        <v>62.920522621567002</v>
      </c>
      <c r="F33" s="4">
        <v>36.921931165791598</v>
      </c>
      <c r="G33" s="4">
        <v>45.443098591409495</v>
      </c>
      <c r="H33" s="4">
        <v>67.986645081511</v>
      </c>
      <c r="I33" s="4">
        <v>43.7247626156378</v>
      </c>
      <c r="J33" s="4">
        <v>54.307603471913893</v>
      </c>
    </row>
    <row r="34" spans="1:10" x14ac:dyDescent="0.25">
      <c r="A34" s="7" t="s">
        <v>212</v>
      </c>
      <c r="B34" s="4" t="s">
        <v>89</v>
      </c>
      <c r="C34" s="4">
        <v>195.08718914078702</v>
      </c>
      <c r="D34" s="4">
        <v>81.248510311383498</v>
      </c>
      <c r="E34" s="4">
        <v>93.803594754443097</v>
      </c>
      <c r="F34" s="4">
        <v>80.871194403395393</v>
      </c>
      <c r="G34" s="4">
        <v>138.998481816767</v>
      </c>
      <c r="H34" s="4">
        <v>133.974963858519</v>
      </c>
      <c r="I34" s="4">
        <v>74.424083398119706</v>
      </c>
      <c r="J34" s="4" t="s">
        <v>89</v>
      </c>
    </row>
    <row r="35" spans="1:10" x14ac:dyDescent="0.25">
      <c r="A35" s="7" t="s">
        <v>213</v>
      </c>
      <c r="B35" s="4">
        <v>1579.72172998818</v>
      </c>
      <c r="C35" s="4">
        <v>1796.4429895815301</v>
      </c>
      <c r="D35" s="4">
        <v>840.10505660920205</v>
      </c>
      <c r="E35" s="4">
        <v>1003.1178497104401</v>
      </c>
      <c r="F35" s="4">
        <v>1611.9050467091702</v>
      </c>
      <c r="G35" s="4">
        <v>1137.51211021892</v>
      </c>
      <c r="H35" s="4">
        <v>2749.9364295870701</v>
      </c>
      <c r="I35" s="4">
        <v>1844.6231711437499</v>
      </c>
      <c r="J35" s="4" t="s">
        <v>89</v>
      </c>
    </row>
    <row r="36" spans="1:10" x14ac:dyDescent="0.25">
      <c r="A36" s="7" t="s">
        <v>214</v>
      </c>
      <c r="B36" s="4">
        <v>60.749670077826501</v>
      </c>
      <c r="C36" s="4">
        <v>40.0554697153907</v>
      </c>
      <c r="D36" s="4">
        <v>69.139444886138605</v>
      </c>
      <c r="E36" s="4">
        <v>48.927755255948199</v>
      </c>
      <c r="F36" s="4">
        <v>54.227465565374999</v>
      </c>
      <c r="G36" s="4">
        <v>59.724757853207095</v>
      </c>
      <c r="H36" s="4">
        <v>48.039911169792305</v>
      </c>
      <c r="I36" s="4">
        <v>60.513010491722504</v>
      </c>
      <c r="J36" s="4">
        <v>56.380465018885594</v>
      </c>
    </row>
    <row r="37" spans="1:10" x14ac:dyDescent="0.25">
      <c r="A37" s="7" t="s">
        <v>215</v>
      </c>
      <c r="B37" s="4" t="s">
        <v>89</v>
      </c>
      <c r="C37" s="4">
        <v>1.7785831063728298E-3</v>
      </c>
      <c r="D37" s="4">
        <v>2.0947486854593599E-3</v>
      </c>
      <c r="E37" s="4">
        <v>2.1105969396060003</v>
      </c>
      <c r="F37" s="4">
        <v>2.3404809355098202</v>
      </c>
      <c r="G37" s="4">
        <v>1.73136209967039</v>
      </c>
      <c r="H37" s="4">
        <v>2.4961968969700701</v>
      </c>
      <c r="I37" s="4">
        <v>2.9113858929000798</v>
      </c>
      <c r="J37" s="4">
        <v>3.0452882416337901</v>
      </c>
    </row>
    <row r="38" spans="1:10" x14ac:dyDescent="0.25">
      <c r="A38" s="7" t="s">
        <v>216</v>
      </c>
      <c r="B38" s="4">
        <v>180.08881785568101</v>
      </c>
      <c r="C38" s="4">
        <v>225.22969452520002</v>
      </c>
      <c r="D38" s="4">
        <v>191.59916132497702</v>
      </c>
      <c r="E38" s="4">
        <v>175.22271317202799</v>
      </c>
      <c r="F38" s="4">
        <v>284.90173322892099</v>
      </c>
      <c r="G38" s="4">
        <v>222.98802360049302</v>
      </c>
      <c r="H38" s="4">
        <v>202.86397033542698</v>
      </c>
      <c r="I38" s="4">
        <v>218.89691506608199</v>
      </c>
      <c r="J38" s="4">
        <v>235.40726929096002</v>
      </c>
    </row>
    <row r="39" spans="1:10" x14ac:dyDescent="0.25">
      <c r="A39" s="7" t="s">
        <v>217</v>
      </c>
      <c r="B39" s="4" t="s">
        <v>89</v>
      </c>
      <c r="C39" s="4" t="s">
        <v>89</v>
      </c>
      <c r="D39" s="4" t="s">
        <v>89</v>
      </c>
      <c r="E39" s="4" t="s">
        <v>89</v>
      </c>
      <c r="F39" s="4" t="s">
        <v>89</v>
      </c>
      <c r="G39" s="4" t="s">
        <v>89</v>
      </c>
      <c r="H39" s="4">
        <v>38.450306843155502</v>
      </c>
      <c r="I39" s="4">
        <v>18.143654783682802</v>
      </c>
      <c r="J39" s="4">
        <v>29.282055783554302</v>
      </c>
    </row>
    <row r="40" spans="1:10" x14ac:dyDescent="0.25">
      <c r="A40" s="7" t="s">
        <v>218</v>
      </c>
      <c r="B40" s="4" t="s">
        <v>89</v>
      </c>
      <c r="C40" s="4" t="s">
        <v>89</v>
      </c>
      <c r="D40" s="4" t="s">
        <v>89</v>
      </c>
      <c r="E40" s="4" t="s">
        <v>89</v>
      </c>
      <c r="F40" s="4" t="s">
        <v>89</v>
      </c>
      <c r="G40" s="4" t="s">
        <v>89</v>
      </c>
      <c r="H40" s="4" t="s">
        <v>89</v>
      </c>
      <c r="I40" s="4" t="s">
        <v>89</v>
      </c>
      <c r="J40" s="4" t="s">
        <v>89</v>
      </c>
    </row>
    <row r="41" spans="1:10" x14ac:dyDescent="0.25">
      <c r="A41" s="7" t="s">
        <v>219</v>
      </c>
      <c r="B41" s="4">
        <v>1489.5448349666099</v>
      </c>
      <c r="C41" s="4">
        <v>1711.7187895520101</v>
      </c>
      <c r="D41" s="4">
        <v>2103.4941828947599</v>
      </c>
      <c r="E41" s="4">
        <v>2306.3860019601798</v>
      </c>
      <c r="F41" s="4">
        <v>1447.93391882625</v>
      </c>
      <c r="G41" s="4">
        <v>1774.0494569807702</v>
      </c>
      <c r="H41" s="4">
        <v>2213.5098961776698</v>
      </c>
      <c r="I41" s="4">
        <v>2367.45608141609</v>
      </c>
      <c r="J41" s="4">
        <v>1844.52869492321</v>
      </c>
    </row>
    <row r="42" spans="1:10" x14ac:dyDescent="0.25">
      <c r="A42" s="7" t="s">
        <v>220</v>
      </c>
      <c r="B42" s="4" t="s">
        <v>89</v>
      </c>
      <c r="C42" s="4">
        <v>4.88467838565386</v>
      </c>
      <c r="D42" s="4">
        <v>0.64998098064653298</v>
      </c>
      <c r="E42" s="4">
        <v>0.29925911954875301</v>
      </c>
      <c r="F42" s="4">
        <v>31.052522108238897</v>
      </c>
      <c r="G42" s="4" t="s">
        <v>89</v>
      </c>
      <c r="H42" s="4" t="s">
        <v>89</v>
      </c>
      <c r="I42" s="4" t="s">
        <v>89</v>
      </c>
      <c r="J42" s="4" t="s">
        <v>89</v>
      </c>
    </row>
    <row r="43" spans="1:10" x14ac:dyDescent="0.25">
      <c r="A43" s="7" t="s">
        <v>221</v>
      </c>
      <c r="B43" s="4" t="s">
        <v>89</v>
      </c>
      <c r="C43" s="4" t="s">
        <v>89</v>
      </c>
      <c r="D43" s="4" t="s">
        <v>89</v>
      </c>
      <c r="E43" s="4" t="s">
        <v>89</v>
      </c>
      <c r="F43" s="4" t="s">
        <v>89</v>
      </c>
      <c r="G43" s="4">
        <v>131.97513265898098</v>
      </c>
      <c r="H43" s="4">
        <v>160.30998780005299</v>
      </c>
      <c r="I43" s="4" t="s">
        <v>89</v>
      </c>
      <c r="J43" s="4" t="s">
        <v>89</v>
      </c>
    </row>
    <row r="44" spans="1:10" x14ac:dyDescent="0.25">
      <c r="A44" s="7" t="s">
        <v>222</v>
      </c>
      <c r="B44" s="4">
        <v>53.204033343454896</v>
      </c>
      <c r="C44" s="4">
        <v>68.951818100261704</v>
      </c>
      <c r="D44" s="4">
        <v>77.234163371357099</v>
      </c>
      <c r="E44" s="4">
        <v>123.33741761763001</v>
      </c>
      <c r="F44" s="4">
        <v>80.564252272330492</v>
      </c>
      <c r="G44" s="4">
        <v>48.564977933664203</v>
      </c>
      <c r="H44" s="4">
        <v>74.020708281917194</v>
      </c>
      <c r="I44" s="4">
        <v>112.02109677962301</v>
      </c>
      <c r="J44" s="4">
        <v>96.148513312772394</v>
      </c>
    </row>
    <row r="45" spans="1:10" x14ac:dyDescent="0.25">
      <c r="A45" s="7" t="s">
        <v>223</v>
      </c>
      <c r="B45" s="4" t="s">
        <v>89</v>
      </c>
      <c r="C45" s="4" t="s">
        <v>89</v>
      </c>
      <c r="D45" s="4" t="s">
        <v>89</v>
      </c>
      <c r="E45" s="4" t="s">
        <v>89</v>
      </c>
      <c r="F45" s="4" t="s">
        <v>89</v>
      </c>
      <c r="G45" s="4" t="s">
        <v>89</v>
      </c>
      <c r="H45" s="4" t="s">
        <v>89</v>
      </c>
      <c r="I45" s="4" t="s">
        <v>89</v>
      </c>
      <c r="J45" s="4" t="s">
        <v>89</v>
      </c>
    </row>
    <row r="46" spans="1:10" x14ac:dyDescent="0.25">
      <c r="A46" s="7" t="s">
        <v>224</v>
      </c>
      <c r="B46" s="4">
        <v>102.035521806254</v>
      </c>
      <c r="C46" s="4">
        <v>296.45865528944097</v>
      </c>
      <c r="D46" s="4">
        <v>1882.1526055300501</v>
      </c>
      <c r="E46" s="4">
        <v>186.60425263878801</v>
      </c>
      <c r="F46" s="4">
        <v>98.375145073700509</v>
      </c>
      <c r="G46" s="4">
        <v>95.889489439917696</v>
      </c>
      <c r="H46" s="4">
        <v>148.56196091888899</v>
      </c>
      <c r="I46" s="4">
        <v>130.313976216139</v>
      </c>
      <c r="J46" s="4">
        <v>185.49156294126001</v>
      </c>
    </row>
    <row r="47" spans="1:10" x14ac:dyDescent="0.25">
      <c r="A47" s="7" t="s">
        <v>225</v>
      </c>
      <c r="B47" s="4">
        <v>317.64635099999998</v>
      </c>
      <c r="C47" s="4">
        <v>275.61031100000002</v>
      </c>
      <c r="D47" s="4">
        <v>197.520151</v>
      </c>
      <c r="E47" s="4">
        <v>160.49284700000001</v>
      </c>
      <c r="F47" s="4" t="s">
        <v>89</v>
      </c>
      <c r="G47" s="4" t="s">
        <v>89</v>
      </c>
      <c r="H47" s="4" t="s">
        <v>89</v>
      </c>
      <c r="I47" s="4" t="s">
        <v>89</v>
      </c>
      <c r="J47" s="4" t="s">
        <v>89</v>
      </c>
    </row>
    <row r="48" spans="1:10" x14ac:dyDescent="0.25">
      <c r="A48" s="9" t="s">
        <v>90</v>
      </c>
      <c r="B48" s="4"/>
      <c r="C48" s="4"/>
      <c r="D48" s="4"/>
      <c r="E48" s="4"/>
      <c r="F48" s="4"/>
      <c r="G48" s="4"/>
      <c r="H48" s="4"/>
      <c r="I48" s="4"/>
      <c r="J48" s="4"/>
    </row>
    <row r="49" spans="1:10" x14ac:dyDescent="0.25">
      <c r="A49" s="7" t="s">
        <v>183</v>
      </c>
      <c r="B49" s="4">
        <v>2366.0584304081203</v>
      </c>
      <c r="C49" s="4">
        <v>1982.8172609179599</v>
      </c>
      <c r="D49" s="4">
        <v>2122.01955567615</v>
      </c>
      <c r="E49" s="4"/>
      <c r="F49" s="4">
        <v>1006.08648618819</v>
      </c>
      <c r="G49" s="4">
        <v>649.169588168053</v>
      </c>
      <c r="H49" s="4">
        <v>788.77222428989194</v>
      </c>
      <c r="I49" s="4"/>
      <c r="J49" s="4">
        <v>851.51811948479099</v>
      </c>
    </row>
    <row r="50" spans="1:10" x14ac:dyDescent="0.25">
      <c r="A50" s="7" t="s">
        <v>184</v>
      </c>
      <c r="B50" s="4">
        <v>489.94376751594501</v>
      </c>
      <c r="C50" s="4">
        <v>479.33237583472697</v>
      </c>
      <c r="D50" s="4">
        <v>446.283168181821</v>
      </c>
      <c r="E50" s="4">
        <v>443.45768395088703</v>
      </c>
      <c r="F50" s="4">
        <v>445.64320736351402</v>
      </c>
      <c r="G50" s="4">
        <v>473.291972152798</v>
      </c>
      <c r="H50" s="4">
        <v>523.81657988757092</v>
      </c>
      <c r="I50" s="4">
        <v>550.51844701550192</v>
      </c>
      <c r="J50" s="4">
        <v>589.60486879379107</v>
      </c>
    </row>
    <row r="51" spans="1:10" x14ac:dyDescent="0.25">
      <c r="A51" s="7" t="s">
        <v>185</v>
      </c>
      <c r="B51" s="4">
        <v>414.559211391887</v>
      </c>
      <c r="C51" s="4">
        <v>253.38831198972602</v>
      </c>
      <c r="D51" s="4">
        <v>486.11369522257201</v>
      </c>
      <c r="E51" s="4">
        <v>183.76199480881101</v>
      </c>
      <c r="F51" s="4">
        <v>195.25443119413799</v>
      </c>
      <c r="G51" s="4">
        <v>293.07836441415799</v>
      </c>
      <c r="H51" s="4">
        <v>228.59544179467301</v>
      </c>
      <c r="I51" s="4">
        <v>248.81416455506101</v>
      </c>
      <c r="J51" s="4"/>
    </row>
    <row r="52" spans="1:10" x14ac:dyDescent="0.25">
      <c r="A52" s="7" t="s">
        <v>186</v>
      </c>
      <c r="B52" s="4">
        <v>404.16724381497596</v>
      </c>
      <c r="C52" s="4">
        <v>408.82220562285801</v>
      </c>
      <c r="D52" s="4">
        <v>466.72805696312901</v>
      </c>
      <c r="E52" s="4">
        <v>634.97417414769802</v>
      </c>
      <c r="F52" s="4"/>
      <c r="G52" s="4">
        <v>666.46983594735002</v>
      </c>
      <c r="H52" s="4"/>
      <c r="I52" s="4"/>
      <c r="J52" s="4"/>
    </row>
    <row r="53" spans="1:10" x14ac:dyDescent="0.25">
      <c r="A53" s="7" t="s">
        <v>187</v>
      </c>
      <c r="B53" s="4">
        <v>145.46114985631098</v>
      </c>
      <c r="C53" s="4">
        <v>82.094615501862407</v>
      </c>
      <c r="D53" s="4">
        <v>87.7045522045279</v>
      </c>
      <c r="E53" s="4">
        <v>98.501114933693898</v>
      </c>
      <c r="F53" s="4">
        <v>98.167576014177101</v>
      </c>
      <c r="G53" s="4">
        <v>95.401750136650804</v>
      </c>
      <c r="H53" s="4">
        <v>101.914546099231</v>
      </c>
      <c r="I53" s="4">
        <v>112.78824836893</v>
      </c>
      <c r="J53" s="4">
        <v>105.692777848386</v>
      </c>
    </row>
    <row r="54" spans="1:10" x14ac:dyDescent="0.25">
      <c r="A54" s="7" t="s">
        <v>189</v>
      </c>
      <c r="B54" s="4">
        <v>80.294733143652607</v>
      </c>
      <c r="C54" s="4">
        <v>99.967721260332198</v>
      </c>
      <c r="D54" s="4">
        <v>83.965499853518196</v>
      </c>
      <c r="E54" s="4">
        <v>109.75977068644301</v>
      </c>
      <c r="F54" s="4">
        <v>53.274191439912201</v>
      </c>
      <c r="G54" s="4">
        <v>85.128190731830898</v>
      </c>
      <c r="H54" s="4">
        <v>74.968061630593411</v>
      </c>
      <c r="I54" s="4">
        <v>84.788341624939989</v>
      </c>
      <c r="J54" s="4">
        <v>76.571224876309898</v>
      </c>
    </row>
    <row r="55" spans="1:10" x14ac:dyDescent="0.25">
      <c r="A55" s="7" t="s">
        <v>188</v>
      </c>
      <c r="B55" s="4">
        <v>970.62112490980508</v>
      </c>
      <c r="C55" s="4">
        <v>955.24536252630696</v>
      </c>
      <c r="D55" s="4">
        <v>997.33627110796101</v>
      </c>
      <c r="E55" s="4">
        <v>1085.1823244924299</v>
      </c>
      <c r="F55" s="4">
        <v>1028.9258806872999</v>
      </c>
      <c r="G55" s="4">
        <v>1075.1025975480102</v>
      </c>
      <c r="H55" s="4">
        <v>1160.67926644559</v>
      </c>
      <c r="I55" s="4">
        <v>999.06453664715798</v>
      </c>
      <c r="J55" s="4">
        <v>1286.4134363706701</v>
      </c>
    </row>
    <row r="56" spans="1:10" x14ac:dyDescent="0.25">
      <c r="A56" s="7" t="s">
        <v>190</v>
      </c>
      <c r="B56" s="4">
        <v>51.983533789653194</v>
      </c>
      <c r="C56" s="4">
        <v>59.490878800960502</v>
      </c>
      <c r="D56" s="4">
        <v>73.833599279733193</v>
      </c>
      <c r="E56" s="4">
        <v>77.958862617455608</v>
      </c>
      <c r="F56" s="4">
        <v>76.257124042564413</v>
      </c>
      <c r="G56" s="4"/>
      <c r="H56" s="4"/>
      <c r="I56" s="4"/>
      <c r="J56" s="4"/>
    </row>
    <row r="57" spans="1:10" x14ac:dyDescent="0.25">
      <c r="A57" s="7" t="s">
        <v>191</v>
      </c>
      <c r="B57" s="4">
        <v>304.08756531427201</v>
      </c>
      <c r="C57" s="4">
        <v>294.36503983588801</v>
      </c>
      <c r="D57" s="4">
        <v>260.80287823845799</v>
      </c>
      <c r="E57" s="4">
        <v>244.36321462558399</v>
      </c>
      <c r="F57" s="4">
        <v>234.57919633213899</v>
      </c>
      <c r="G57" s="4">
        <v>258.71749463840302</v>
      </c>
      <c r="H57" s="4">
        <v>319.72026589767302</v>
      </c>
      <c r="I57" s="4">
        <v>306.38765465422796</v>
      </c>
      <c r="J57" s="4"/>
    </row>
    <row r="58" spans="1:10" x14ac:dyDescent="0.25">
      <c r="A58" s="7" t="s">
        <v>192</v>
      </c>
      <c r="B58" s="4"/>
      <c r="C58" s="4"/>
      <c r="D58" s="4"/>
      <c r="E58" s="4"/>
      <c r="F58" s="4">
        <v>323.72243788599098</v>
      </c>
      <c r="G58" s="4">
        <v>321.22323287220297</v>
      </c>
      <c r="H58" s="4">
        <v>336.71932263053503</v>
      </c>
      <c r="I58" s="4"/>
      <c r="J58" s="4"/>
    </row>
    <row r="59" spans="1:10" x14ac:dyDescent="0.25">
      <c r="A59" s="7" t="s">
        <v>193</v>
      </c>
      <c r="B59" s="4">
        <v>1797.9648780094699</v>
      </c>
      <c r="C59" s="4">
        <v>1852.9537881445101</v>
      </c>
      <c r="D59" s="4">
        <v>1788.6942494584998</v>
      </c>
      <c r="E59" s="4">
        <v>1861.3946200001599</v>
      </c>
      <c r="F59" s="4">
        <v>1562.5814744024301</v>
      </c>
      <c r="G59" s="4">
        <v>1710.90051817838</v>
      </c>
      <c r="H59" s="4">
        <v>1901.9662159104901</v>
      </c>
      <c r="I59" s="4">
        <v>1751.68258664979</v>
      </c>
      <c r="J59" s="4">
        <v>2010.2573872435901</v>
      </c>
    </row>
    <row r="60" spans="1:10" x14ac:dyDescent="0.25">
      <c r="A60" s="7" t="s">
        <v>249</v>
      </c>
      <c r="B60" s="4">
        <v>1094.8979196483199</v>
      </c>
      <c r="C60" s="4">
        <v>1431.0459941572001</v>
      </c>
      <c r="D60" s="4">
        <v>1329.7911854578399</v>
      </c>
      <c r="E60" s="4">
        <v>1316.03339463014</v>
      </c>
      <c r="F60" s="4">
        <v>1475.3308530818902</v>
      </c>
      <c r="G60" s="4">
        <v>1730.70122741564</v>
      </c>
      <c r="H60" s="4">
        <v>2126.4989778678701</v>
      </c>
      <c r="I60" s="4">
        <v>2413.70846766249</v>
      </c>
      <c r="J60" s="4">
        <v>2616.9707550507696</v>
      </c>
    </row>
    <row r="61" spans="1:10" x14ac:dyDescent="0.25">
      <c r="A61" s="7" t="s">
        <v>194</v>
      </c>
      <c r="B61" s="4"/>
      <c r="C61" s="4"/>
      <c r="D61" s="4"/>
      <c r="E61" s="4"/>
      <c r="F61" s="4"/>
      <c r="G61" s="4"/>
      <c r="H61" s="4"/>
      <c r="I61" s="4"/>
      <c r="J61" s="4"/>
    </row>
    <row r="62" spans="1:10" x14ac:dyDescent="0.25">
      <c r="A62" s="7" t="s">
        <v>195</v>
      </c>
      <c r="B62" s="4"/>
      <c r="C62" s="4"/>
      <c r="D62" s="4"/>
      <c r="E62" s="4"/>
      <c r="F62" s="4"/>
      <c r="G62" s="4"/>
      <c r="H62" s="4"/>
      <c r="I62" s="4"/>
      <c r="J62" s="4"/>
    </row>
    <row r="63" spans="1:10" x14ac:dyDescent="0.25">
      <c r="A63" s="7" t="s">
        <v>196</v>
      </c>
      <c r="B63" s="4"/>
      <c r="C63" s="4"/>
      <c r="D63" s="4"/>
      <c r="E63" s="4"/>
      <c r="F63" s="4"/>
      <c r="G63" s="4"/>
      <c r="H63" s="4">
        <v>147.31456927554802</v>
      </c>
      <c r="I63" s="4">
        <v>142.00910606775901</v>
      </c>
      <c r="J63" s="4">
        <v>137.32535338652301</v>
      </c>
    </row>
    <row r="64" spans="1:10" x14ac:dyDescent="0.25">
      <c r="A64" s="7" t="s">
        <v>197</v>
      </c>
      <c r="B64" s="4">
        <v>1190.1502219522799</v>
      </c>
      <c r="C64" s="4">
        <v>1500.7210102116399</v>
      </c>
      <c r="D64" s="4">
        <v>1615.57618449238</v>
      </c>
      <c r="E64" s="4"/>
      <c r="F64" s="4"/>
      <c r="G64" s="4"/>
      <c r="H64" s="4"/>
      <c r="I64" s="4">
        <v>1465.4133807492099</v>
      </c>
      <c r="J64" s="4"/>
    </row>
    <row r="65" spans="1:10" x14ac:dyDescent="0.25">
      <c r="A65" s="7" t="s">
        <v>198</v>
      </c>
      <c r="B65" s="4">
        <v>450.08068588171102</v>
      </c>
      <c r="C65" s="4">
        <v>420.58871574076596</v>
      </c>
      <c r="D65" s="4">
        <v>381.53214797122996</v>
      </c>
      <c r="E65" s="4">
        <v>392.48577715066398</v>
      </c>
      <c r="F65" s="4">
        <v>359.063282434386</v>
      </c>
      <c r="G65" s="4">
        <v>423.06663639589902</v>
      </c>
      <c r="H65" s="4">
        <v>416.98182590565699</v>
      </c>
      <c r="I65" s="4">
        <v>379.72958377721</v>
      </c>
      <c r="J65" s="4">
        <v>397.88766654782899</v>
      </c>
    </row>
    <row r="66" spans="1:10" x14ac:dyDescent="0.25">
      <c r="A66" s="7" t="s">
        <v>199</v>
      </c>
      <c r="B66" s="4">
        <v>89.608505009934603</v>
      </c>
      <c r="C66" s="4"/>
      <c r="D66" s="4"/>
      <c r="E66" s="4"/>
      <c r="F66" s="4"/>
      <c r="G66" s="4"/>
      <c r="H66" s="4"/>
      <c r="I66" s="4"/>
      <c r="J66" s="4"/>
    </row>
    <row r="67" spans="1:10" x14ac:dyDescent="0.25">
      <c r="A67" s="7" t="s">
        <v>200</v>
      </c>
      <c r="B67" s="4"/>
      <c r="C67" s="4"/>
      <c r="D67" s="4">
        <v>1268.2754581745401</v>
      </c>
      <c r="E67" s="4">
        <v>1286.8618213539901</v>
      </c>
      <c r="F67" s="4">
        <v>2389.7760758620202</v>
      </c>
      <c r="G67" s="4">
        <v>1541.0661804210101</v>
      </c>
      <c r="H67" s="4">
        <v>1391.33341720206</v>
      </c>
      <c r="I67" s="4"/>
      <c r="J67" s="4"/>
    </row>
    <row r="68" spans="1:10" x14ac:dyDescent="0.25">
      <c r="A68" s="7" t="s">
        <v>201</v>
      </c>
      <c r="B68" s="4"/>
      <c r="C68" s="4"/>
      <c r="D68" s="4"/>
      <c r="E68" s="4">
        <v>505.69217034537098</v>
      </c>
      <c r="F68" s="4"/>
      <c r="G68" s="4"/>
      <c r="H68" s="4"/>
      <c r="I68" s="4"/>
      <c r="J68" s="4"/>
    </row>
    <row r="69" spans="1:10" x14ac:dyDescent="0.25">
      <c r="A69" s="7" t="s">
        <v>202</v>
      </c>
      <c r="B69" s="4"/>
      <c r="C69" s="4">
        <v>0.10590576855624199</v>
      </c>
      <c r="D69" s="4">
        <v>0.116146502296552</v>
      </c>
      <c r="E69" s="4">
        <v>0.113505830738877</v>
      </c>
      <c r="F69" s="4">
        <v>0.106935480969893</v>
      </c>
      <c r="G69" s="4">
        <v>0.10779295624589899</v>
      </c>
      <c r="H69" s="4">
        <v>0.123298912176352</v>
      </c>
      <c r="I69" s="4">
        <v>0.10975083497698999</v>
      </c>
      <c r="J69" s="4">
        <v>0.1218321981932</v>
      </c>
    </row>
    <row r="70" spans="1:10" x14ac:dyDescent="0.25">
      <c r="A70" s="7" t="s">
        <v>203</v>
      </c>
      <c r="B70" s="4">
        <v>1727.23914270362</v>
      </c>
      <c r="C70" s="4">
        <v>1802.4722192035401</v>
      </c>
      <c r="D70" s="4">
        <v>2544.47237494208</v>
      </c>
      <c r="E70" s="4"/>
      <c r="F70" s="4"/>
      <c r="G70" s="4"/>
      <c r="H70" s="4">
        <v>3045.6733159476298</v>
      </c>
      <c r="I70" s="4">
        <v>3060.5266351750001</v>
      </c>
      <c r="J70" s="4">
        <v>2908.0779375697798</v>
      </c>
    </row>
    <row r="71" spans="1:10" x14ac:dyDescent="0.25">
      <c r="A71" s="7" t="s">
        <v>204</v>
      </c>
      <c r="B71" s="4"/>
      <c r="C71" s="4"/>
      <c r="D71" s="4">
        <v>103.66814891534901</v>
      </c>
      <c r="E71" s="4">
        <v>127.228802944726</v>
      </c>
      <c r="F71" s="4">
        <v>123.300989529102</v>
      </c>
      <c r="G71" s="4">
        <v>94.215107546490998</v>
      </c>
      <c r="H71" s="4">
        <v>117.120924276575</v>
      </c>
      <c r="I71" s="4">
        <v>100.921102494441</v>
      </c>
      <c r="J71" s="4">
        <v>95.507455566973704</v>
      </c>
    </row>
    <row r="72" spans="1:10" x14ac:dyDescent="0.25">
      <c r="A72" s="7" t="s">
        <v>205</v>
      </c>
      <c r="B72" s="4"/>
      <c r="C72" s="4">
        <v>1.42977509543689</v>
      </c>
      <c r="D72" s="4"/>
      <c r="E72" s="4"/>
      <c r="F72" s="4"/>
      <c r="G72" s="4"/>
      <c r="H72" s="4"/>
      <c r="I72" s="4"/>
      <c r="J72" s="4"/>
    </row>
    <row r="73" spans="1:10" x14ac:dyDescent="0.25">
      <c r="A73" s="7" t="s">
        <v>206</v>
      </c>
      <c r="B73" s="4">
        <v>249.90681702113301</v>
      </c>
      <c r="C73" s="4">
        <v>191.15200575500597</v>
      </c>
      <c r="D73" s="4">
        <v>228.40830221718699</v>
      </c>
      <c r="E73" s="4"/>
      <c r="F73" s="4"/>
      <c r="G73" s="4"/>
      <c r="H73" s="4">
        <v>332.08051040858498</v>
      </c>
      <c r="I73" s="4">
        <v>368.787668359485</v>
      </c>
      <c r="J73" s="4">
        <v>389.98596085563599</v>
      </c>
    </row>
    <row r="74" spans="1:10" x14ac:dyDescent="0.25">
      <c r="A74" s="7" t="s">
        <v>207</v>
      </c>
      <c r="B74" s="4">
        <v>255.03964219889102</v>
      </c>
      <c r="C74" s="4">
        <v>242.809630103692</v>
      </c>
      <c r="D74" s="4">
        <v>231.52231848248402</v>
      </c>
      <c r="E74" s="4">
        <v>402.24424840828402</v>
      </c>
      <c r="F74" s="4">
        <v>279.23418416595604</v>
      </c>
      <c r="G74" s="4">
        <v>296.034242193659</v>
      </c>
      <c r="H74" s="4">
        <v>312.69589940884202</v>
      </c>
      <c r="I74" s="4">
        <v>440.37420291686203</v>
      </c>
      <c r="J74" s="4"/>
    </row>
    <row r="75" spans="1:10" x14ac:dyDescent="0.25">
      <c r="A75" s="7" t="s">
        <v>208</v>
      </c>
      <c r="B75" s="4">
        <v>808.18395135784306</v>
      </c>
      <c r="C75" s="4">
        <v>876.885303402315</v>
      </c>
      <c r="D75" s="4">
        <v>898.47946508028997</v>
      </c>
      <c r="E75" s="4">
        <v>910.53403775683205</v>
      </c>
      <c r="F75" s="4">
        <v>878.97306658316802</v>
      </c>
      <c r="G75" s="4">
        <v>901.6897491122561</v>
      </c>
      <c r="H75" s="4">
        <v>1008.05965326739</v>
      </c>
      <c r="I75" s="4"/>
      <c r="J75" s="4"/>
    </row>
    <row r="76" spans="1:10" x14ac:dyDescent="0.25">
      <c r="A76" s="7" t="s">
        <v>209</v>
      </c>
      <c r="B76" s="4">
        <v>270.87057555331802</v>
      </c>
      <c r="C76" s="4">
        <v>268.42562987451498</v>
      </c>
      <c r="D76" s="4">
        <v>279.94533397876398</v>
      </c>
      <c r="E76" s="4">
        <v>267.257714358123</v>
      </c>
      <c r="F76" s="4">
        <v>282.51736066013495</v>
      </c>
      <c r="G76" s="4">
        <v>238.064449283638</v>
      </c>
      <c r="H76" s="4">
        <v>241.35692732601899</v>
      </c>
      <c r="I76" s="4">
        <v>234.41797650781299</v>
      </c>
      <c r="J76" s="4">
        <v>254.48320838275302</v>
      </c>
    </row>
    <row r="77" spans="1:10" x14ac:dyDescent="0.25">
      <c r="A77" s="7" t="s">
        <v>210</v>
      </c>
      <c r="B77" s="4"/>
      <c r="C77" s="4"/>
      <c r="D77" s="4">
        <v>7.6583589745738498</v>
      </c>
      <c r="E77" s="4">
        <v>8.5060977576272805</v>
      </c>
      <c r="F77" s="4">
        <v>7.9396358229635799</v>
      </c>
      <c r="G77" s="4">
        <v>6.4800594831929699</v>
      </c>
      <c r="H77" s="4">
        <v>638.82126246085704</v>
      </c>
      <c r="I77" s="4">
        <v>556.79978269665003</v>
      </c>
      <c r="J77" s="4"/>
    </row>
    <row r="78" spans="1:10" x14ac:dyDescent="0.25">
      <c r="A78" s="7" t="s">
        <v>211</v>
      </c>
      <c r="B78" s="4">
        <v>220.889068175593</v>
      </c>
      <c r="C78" s="4">
        <v>202.99997559483299</v>
      </c>
      <c r="D78" s="4">
        <v>231.29870839561599</v>
      </c>
      <c r="E78" s="4">
        <v>234.765733295887</v>
      </c>
      <c r="F78" s="4">
        <v>211.042123453806</v>
      </c>
      <c r="G78" s="4">
        <v>194.25772716512299</v>
      </c>
      <c r="H78" s="4">
        <v>273.31376141636503</v>
      </c>
      <c r="I78" s="4">
        <v>243.80802637994699</v>
      </c>
      <c r="J78" s="4">
        <v>170.300712446012</v>
      </c>
    </row>
    <row r="79" spans="1:10" x14ac:dyDescent="0.25">
      <c r="A79" s="7" t="s">
        <v>212</v>
      </c>
      <c r="B79" s="4"/>
      <c r="C79" s="4">
        <v>386.31757548633402</v>
      </c>
      <c r="D79" s="4">
        <v>398.72572250182998</v>
      </c>
      <c r="E79" s="4"/>
      <c r="F79" s="4"/>
      <c r="G79" s="4"/>
      <c r="H79" s="4">
        <v>438.79942588473398</v>
      </c>
      <c r="I79" s="4">
        <v>393.54175391005805</v>
      </c>
      <c r="J79" s="4"/>
    </row>
    <row r="80" spans="1:10" x14ac:dyDescent="0.25">
      <c r="A80" s="7" t="s">
        <v>213</v>
      </c>
      <c r="B80" s="4">
        <v>12407.677800035101</v>
      </c>
      <c r="C80" s="4">
        <v>6700.0514983707599</v>
      </c>
      <c r="D80" s="4">
        <v>6239.5683611567902</v>
      </c>
      <c r="E80" s="4">
        <v>7336.1024836937395</v>
      </c>
      <c r="F80" s="4">
        <v>8043.6710741711104</v>
      </c>
      <c r="G80" s="4">
        <v>8028.35570142709</v>
      </c>
      <c r="H80" s="4">
        <v>7913.3576263959803</v>
      </c>
      <c r="I80" s="4">
        <v>9052.147425193969</v>
      </c>
      <c r="J80" s="4"/>
    </row>
    <row r="81" spans="1:10" x14ac:dyDescent="0.25">
      <c r="A81" s="7" t="s">
        <v>214</v>
      </c>
      <c r="B81" s="4">
        <v>265.53759989313801</v>
      </c>
      <c r="C81" s="4">
        <v>202.15561932459198</v>
      </c>
      <c r="D81" s="4">
        <v>197.91319842952703</v>
      </c>
      <c r="E81" s="4">
        <v>201.50124313042198</v>
      </c>
      <c r="F81" s="4">
        <v>220.664446590089</v>
      </c>
      <c r="G81" s="4">
        <v>233.42595405771101</v>
      </c>
      <c r="H81" s="4">
        <v>267.92820138499098</v>
      </c>
      <c r="I81" s="4">
        <v>309.31703856300601</v>
      </c>
      <c r="J81" s="4">
        <v>308.638469154723</v>
      </c>
    </row>
    <row r="82" spans="1:10" x14ac:dyDescent="0.25">
      <c r="A82" s="7" t="s">
        <v>215</v>
      </c>
      <c r="B82" s="4"/>
      <c r="C82" s="4">
        <v>1.61993883116608E-2</v>
      </c>
      <c r="D82" s="4">
        <v>1.6751247794367999E-2</v>
      </c>
      <c r="E82" s="4">
        <v>16.163657570404002</v>
      </c>
      <c r="F82" s="4">
        <v>14.126563035226301</v>
      </c>
      <c r="G82" s="4">
        <v>13.544249757917498</v>
      </c>
      <c r="H82" s="4">
        <v>15.2695715605059</v>
      </c>
      <c r="I82" s="4">
        <v>14.029227407000299</v>
      </c>
      <c r="J82" s="4">
        <v>14.641193781384601</v>
      </c>
    </row>
    <row r="83" spans="1:10" x14ac:dyDescent="0.25">
      <c r="A83" s="7" t="s">
        <v>216</v>
      </c>
      <c r="B83" s="4">
        <v>1291.0197418686701</v>
      </c>
      <c r="C83" s="4">
        <v>1287.9411484802899</v>
      </c>
      <c r="D83" s="4">
        <v>1499.0398015994101</v>
      </c>
      <c r="E83" s="4">
        <v>1311.91830749163</v>
      </c>
      <c r="F83" s="4">
        <v>1302.06557711204</v>
      </c>
      <c r="G83" s="4">
        <v>1177.4774066402999</v>
      </c>
      <c r="H83" s="4">
        <v>1137.5071814329199</v>
      </c>
      <c r="I83" s="4">
        <v>1011.3757878610199</v>
      </c>
      <c r="J83" s="4">
        <v>1087.8874473891899</v>
      </c>
    </row>
    <row r="84" spans="1:10" x14ac:dyDescent="0.25">
      <c r="A84" s="7" t="s">
        <v>217</v>
      </c>
      <c r="B84" s="4"/>
      <c r="C84" s="4"/>
      <c r="D84" s="4">
        <v>87.542714290588606</v>
      </c>
      <c r="E84" s="4">
        <v>88.049885360029592</v>
      </c>
      <c r="F84" s="4">
        <v>95.043286321415195</v>
      </c>
      <c r="G84" s="4">
        <v>74.384996785899105</v>
      </c>
      <c r="H84" s="4">
        <v>86.638516674175904</v>
      </c>
      <c r="I84" s="4">
        <v>104.923829871385</v>
      </c>
      <c r="J84" s="4">
        <v>93.471163445000798</v>
      </c>
    </row>
    <row r="85" spans="1:10" x14ac:dyDescent="0.25">
      <c r="A85" s="7" t="s">
        <v>218</v>
      </c>
      <c r="B85" s="4"/>
      <c r="C85" s="4"/>
      <c r="D85" s="4"/>
      <c r="E85" s="4"/>
      <c r="F85" s="4">
        <v>0.16159425797979302</v>
      </c>
      <c r="G85" s="4">
        <v>0.168566871340527</v>
      </c>
      <c r="H85" s="4">
        <v>163.51474796397201</v>
      </c>
      <c r="I85" s="4"/>
      <c r="J85" s="4"/>
    </row>
    <row r="86" spans="1:10" x14ac:dyDescent="0.25">
      <c r="A86" s="7" t="s">
        <v>219</v>
      </c>
      <c r="B86" s="4">
        <v>9630.4959101714303</v>
      </c>
      <c r="C86" s="4">
        <v>9005.8810757110805</v>
      </c>
      <c r="D86" s="4">
        <v>9618.2305037891292</v>
      </c>
      <c r="E86" s="4">
        <v>10753.7982857965</v>
      </c>
      <c r="F86" s="4">
        <v>9243.3580458631404</v>
      </c>
      <c r="G86" s="4">
        <v>8589.6885120891202</v>
      </c>
      <c r="H86" s="4">
        <v>9882.9362299236</v>
      </c>
      <c r="I86" s="4">
        <v>9112.6863307932308</v>
      </c>
      <c r="J86" s="4">
        <v>8889.7545132670311</v>
      </c>
    </row>
    <row r="87" spans="1:10" x14ac:dyDescent="0.25">
      <c r="A87" s="7" t="s">
        <v>220</v>
      </c>
      <c r="B87" s="4"/>
      <c r="C87" s="4">
        <v>24.4705316453134</v>
      </c>
      <c r="D87" s="4">
        <v>20.600037880718201</v>
      </c>
      <c r="E87" s="4">
        <v>54.623924065942603</v>
      </c>
      <c r="F87" s="4"/>
      <c r="G87" s="4"/>
      <c r="H87" s="4"/>
      <c r="I87" s="4"/>
      <c r="J87" s="4"/>
    </row>
    <row r="88" spans="1:10" x14ac:dyDescent="0.25">
      <c r="A88" s="7" t="s">
        <v>221</v>
      </c>
      <c r="B88" s="4"/>
      <c r="C88" s="4"/>
      <c r="D88" s="4"/>
      <c r="E88" s="4"/>
      <c r="F88" s="4"/>
      <c r="G88" s="4">
        <v>581.27095746947305</v>
      </c>
      <c r="H88" s="4">
        <v>729.96626310837405</v>
      </c>
      <c r="I88" s="4"/>
      <c r="J88" s="4"/>
    </row>
    <row r="89" spans="1:10" x14ac:dyDescent="0.25">
      <c r="A89" s="7" t="s">
        <v>222</v>
      </c>
      <c r="B89" s="4">
        <v>337.48317505361996</v>
      </c>
      <c r="C89" s="4">
        <v>316.271665994388</v>
      </c>
      <c r="D89" s="4">
        <v>306.62274261000698</v>
      </c>
      <c r="E89" s="4">
        <v>318.82530452571098</v>
      </c>
      <c r="F89" s="4">
        <v>318.93891300942897</v>
      </c>
      <c r="G89" s="4">
        <v>357.29980634907798</v>
      </c>
      <c r="H89" s="4">
        <v>401.949872377563</v>
      </c>
      <c r="I89" s="4">
        <v>367.544621443322</v>
      </c>
      <c r="J89" s="4">
        <v>388.50594325549503</v>
      </c>
    </row>
    <row r="90" spans="1:10" x14ac:dyDescent="0.25">
      <c r="A90" s="7" t="s">
        <v>223</v>
      </c>
      <c r="B90" s="4"/>
      <c r="C90" s="4"/>
      <c r="D90" s="4"/>
      <c r="E90" s="4"/>
      <c r="F90" s="4"/>
      <c r="G90" s="4">
        <v>1146.3419395964702</v>
      </c>
      <c r="H90" s="4">
        <v>1262.5921231351999</v>
      </c>
      <c r="I90" s="4">
        <v>1320.5406886682701</v>
      </c>
      <c r="J90" s="4">
        <v>1504.9355730749901</v>
      </c>
    </row>
    <row r="91" spans="1:10" x14ac:dyDescent="0.25">
      <c r="A91" s="7" t="s">
        <v>224</v>
      </c>
      <c r="B91" s="4">
        <v>591.04062430459794</v>
      </c>
      <c r="C91" s="4">
        <v>559.38732842043999</v>
      </c>
      <c r="D91" s="4">
        <v>684.86298791896195</v>
      </c>
      <c r="E91" s="4">
        <v>452.53408006272298</v>
      </c>
      <c r="F91" s="4">
        <v>527.80391849185401</v>
      </c>
      <c r="G91" s="4">
        <v>455.68456360006701</v>
      </c>
      <c r="H91" s="4">
        <v>553.10925174437409</v>
      </c>
      <c r="I91" s="4">
        <v>650.76804546109599</v>
      </c>
      <c r="J91" s="4">
        <v>657.81716018487998</v>
      </c>
    </row>
    <row r="92" spans="1:10" x14ac:dyDescent="0.25">
      <c r="A92" s="7" t="s">
        <v>225</v>
      </c>
      <c r="B92" s="4">
        <v>1057.0441900000001</v>
      </c>
      <c r="C92" s="4">
        <v>998.09474699999998</v>
      </c>
      <c r="D92" s="4">
        <v>1109.8992459999999</v>
      </c>
      <c r="E92" s="4">
        <v>1564.275216</v>
      </c>
      <c r="F92" s="4"/>
      <c r="G92" s="4"/>
      <c r="H92" s="4"/>
      <c r="I92" s="4"/>
      <c r="J92" s="4"/>
    </row>
    <row r="94" spans="1:10" x14ac:dyDescent="0.25">
      <c r="A94" t="s">
        <v>23</v>
      </c>
    </row>
  </sheetData>
  <hyperlinks>
    <hyperlink ref="K1" location="Contents!A1" display="Return to Contents" xr:uid="{2FF83BD1-56D3-46EE-B18C-468600B83C1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27B6-3281-4451-B803-742203B681EA}">
  <sheetPr codeName="Sheet19"/>
  <dimension ref="A1:J49"/>
  <sheetViews>
    <sheetView workbookViewId="0"/>
  </sheetViews>
  <sheetFormatPr defaultRowHeight="15" x14ac:dyDescent="0.25"/>
  <cols>
    <col min="1" max="1" width="23" customWidth="1"/>
    <col min="2" max="3" width="17.42578125" style="18" customWidth="1"/>
    <col min="4" max="4" width="22.85546875" style="18" customWidth="1"/>
    <col min="5" max="5" width="19.5703125" style="18" customWidth="1"/>
    <col min="6" max="8" width="17.42578125" style="18" customWidth="1"/>
  </cols>
  <sheetData>
    <row r="1" spans="1:10" x14ac:dyDescent="0.25">
      <c r="A1" s="1" t="s">
        <v>255</v>
      </c>
    </row>
    <row r="2" spans="1:10" s="17" customFormat="1" ht="54" x14ac:dyDescent="0.25">
      <c r="B2" s="23" t="s">
        <v>127</v>
      </c>
      <c r="C2" s="23" t="s">
        <v>128</v>
      </c>
      <c r="D2" s="23" t="s">
        <v>126</v>
      </c>
      <c r="E2" s="23" t="s">
        <v>122</v>
      </c>
      <c r="F2" s="23" t="s">
        <v>123</v>
      </c>
      <c r="G2" s="23" t="s">
        <v>124</v>
      </c>
      <c r="H2" s="23" t="s">
        <v>125</v>
      </c>
      <c r="J2" s="34" t="s">
        <v>17</v>
      </c>
    </row>
    <row r="3" spans="1:10" x14ac:dyDescent="0.25">
      <c r="A3" t="s">
        <v>183</v>
      </c>
      <c r="B3" s="48">
        <v>148</v>
      </c>
      <c r="C3" s="18">
        <v>4.2</v>
      </c>
      <c r="D3" s="48" t="s">
        <v>19</v>
      </c>
      <c r="E3" s="18" t="s">
        <v>91</v>
      </c>
      <c r="F3" s="18" t="s">
        <v>91</v>
      </c>
      <c r="G3" s="18" t="s">
        <v>91</v>
      </c>
      <c r="H3" s="18" t="s">
        <v>91</v>
      </c>
    </row>
    <row r="4" spans="1:10" x14ac:dyDescent="0.25">
      <c r="A4" t="s">
        <v>184</v>
      </c>
      <c r="B4" s="48">
        <v>14</v>
      </c>
      <c r="C4" s="18">
        <v>1.1000000000000001</v>
      </c>
      <c r="D4" s="48" t="s">
        <v>19</v>
      </c>
      <c r="E4" s="18" t="s">
        <v>91</v>
      </c>
      <c r="F4" s="18" t="s">
        <v>91</v>
      </c>
      <c r="G4" s="18" t="s">
        <v>91</v>
      </c>
      <c r="H4" s="18" t="s">
        <v>91</v>
      </c>
    </row>
    <row r="5" spans="1:10" x14ac:dyDescent="0.25">
      <c r="A5" t="s">
        <v>185</v>
      </c>
      <c r="B5" s="48">
        <v>23</v>
      </c>
      <c r="C5" s="18">
        <v>8.6999999999999993</v>
      </c>
      <c r="D5" s="48" t="s">
        <v>19</v>
      </c>
      <c r="E5" s="18" t="s">
        <v>91</v>
      </c>
      <c r="F5" s="18" t="s">
        <v>91</v>
      </c>
      <c r="G5" s="18" t="s">
        <v>91</v>
      </c>
      <c r="H5" s="18" t="s">
        <v>91</v>
      </c>
    </row>
    <row r="6" spans="1:10" x14ac:dyDescent="0.25">
      <c r="A6" t="s">
        <v>186</v>
      </c>
      <c r="B6" s="48">
        <v>17</v>
      </c>
      <c r="C6" s="18">
        <v>0.8</v>
      </c>
      <c r="D6" s="48" t="s">
        <v>19</v>
      </c>
      <c r="E6" s="18" t="s">
        <v>91</v>
      </c>
      <c r="F6" s="18" t="s">
        <v>91</v>
      </c>
      <c r="G6" s="18" t="s">
        <v>91</v>
      </c>
      <c r="H6" s="18" t="s">
        <v>91</v>
      </c>
    </row>
    <row r="7" spans="1:10" x14ac:dyDescent="0.25">
      <c r="A7" t="s">
        <v>187</v>
      </c>
      <c r="B7" s="48">
        <v>8</v>
      </c>
      <c r="C7" s="18">
        <v>0.6</v>
      </c>
      <c r="D7" s="48" t="s">
        <v>19</v>
      </c>
      <c r="E7" s="18" t="s">
        <v>91</v>
      </c>
      <c r="F7" s="18" t="s">
        <v>91</v>
      </c>
      <c r="G7" s="18" t="s">
        <v>91</v>
      </c>
      <c r="H7" s="18" t="s">
        <v>91</v>
      </c>
    </row>
    <row r="8" spans="1:10" x14ac:dyDescent="0.25">
      <c r="A8" t="s">
        <v>188</v>
      </c>
      <c r="B8" s="48">
        <v>33</v>
      </c>
      <c r="C8" s="18">
        <v>1.2</v>
      </c>
      <c r="D8" s="48">
        <v>0.1</v>
      </c>
      <c r="E8" s="18" t="s">
        <v>92</v>
      </c>
      <c r="F8" s="18" t="s">
        <v>92</v>
      </c>
      <c r="G8" s="18" t="s">
        <v>91</v>
      </c>
      <c r="H8" s="18" t="s">
        <v>91</v>
      </c>
    </row>
    <row r="9" spans="1:10" x14ac:dyDescent="0.25">
      <c r="A9" t="s">
        <v>189</v>
      </c>
      <c r="B9" s="48">
        <v>3</v>
      </c>
      <c r="C9" s="18">
        <v>5.3</v>
      </c>
      <c r="D9" s="48" t="s">
        <v>19</v>
      </c>
      <c r="E9" s="18" t="s">
        <v>91</v>
      </c>
      <c r="F9" s="18" t="s">
        <v>91</v>
      </c>
      <c r="G9" s="18" t="s">
        <v>91</v>
      </c>
      <c r="H9" s="18" t="s">
        <v>91</v>
      </c>
    </row>
    <row r="10" spans="1:10" x14ac:dyDescent="0.25">
      <c r="A10" t="s">
        <v>190</v>
      </c>
      <c r="B10" s="48">
        <v>3</v>
      </c>
      <c r="C10" s="18">
        <v>0.6</v>
      </c>
      <c r="D10" s="48" t="s">
        <v>19</v>
      </c>
      <c r="E10" s="18" t="s">
        <v>91</v>
      </c>
      <c r="F10" s="18" t="s">
        <v>91</v>
      </c>
      <c r="G10" s="18" t="s">
        <v>91</v>
      </c>
      <c r="H10" s="18" t="s">
        <v>91</v>
      </c>
    </row>
    <row r="11" spans="1:10" x14ac:dyDescent="0.25">
      <c r="A11" t="s">
        <v>191</v>
      </c>
      <c r="B11" s="48">
        <v>12</v>
      </c>
      <c r="C11" s="18">
        <v>0.7</v>
      </c>
      <c r="D11" s="48" t="s">
        <v>19</v>
      </c>
      <c r="E11" s="18" t="s">
        <v>91</v>
      </c>
      <c r="F11" s="18" t="s">
        <v>91</v>
      </c>
      <c r="G11" s="18" t="s">
        <v>91</v>
      </c>
      <c r="H11" s="18" t="s">
        <v>91</v>
      </c>
    </row>
    <row r="12" spans="1:10" x14ac:dyDescent="0.25">
      <c r="A12" t="s">
        <v>192</v>
      </c>
      <c r="B12" s="48">
        <v>16</v>
      </c>
      <c r="C12" s="18">
        <v>2.7</v>
      </c>
      <c r="D12" s="48" t="s">
        <v>19</v>
      </c>
      <c r="E12" s="18" t="s">
        <v>91</v>
      </c>
      <c r="F12" s="18" t="s">
        <v>91</v>
      </c>
      <c r="G12" s="18" t="s">
        <v>91</v>
      </c>
      <c r="H12" s="18" t="s">
        <v>91</v>
      </c>
    </row>
    <row r="13" spans="1:10" x14ac:dyDescent="0.25">
      <c r="A13" t="s">
        <v>256</v>
      </c>
      <c r="B13" s="48">
        <v>42</v>
      </c>
      <c r="C13" s="18">
        <v>1.5</v>
      </c>
      <c r="D13" s="48" t="s">
        <v>19</v>
      </c>
      <c r="E13" s="18" t="s">
        <v>92</v>
      </c>
      <c r="F13" s="18" t="s">
        <v>92</v>
      </c>
      <c r="G13" s="18" t="s">
        <v>91</v>
      </c>
      <c r="H13" s="18" t="s">
        <v>91</v>
      </c>
    </row>
    <row r="14" spans="1:10" x14ac:dyDescent="0.25">
      <c r="A14" t="s">
        <v>249</v>
      </c>
      <c r="B14" s="48">
        <v>56</v>
      </c>
      <c r="C14" s="18">
        <v>0.6</v>
      </c>
      <c r="D14" s="48" t="s">
        <v>19</v>
      </c>
      <c r="E14" s="18" t="s">
        <v>91</v>
      </c>
      <c r="F14" s="18" t="s">
        <v>91</v>
      </c>
      <c r="G14" s="18" t="s">
        <v>91</v>
      </c>
      <c r="H14" s="18" t="s">
        <v>91</v>
      </c>
    </row>
    <row r="15" spans="1:10" x14ac:dyDescent="0.25">
      <c r="A15" t="s">
        <v>194</v>
      </c>
      <c r="B15" s="48">
        <v>18</v>
      </c>
      <c r="C15" s="18">
        <v>10.6</v>
      </c>
      <c r="D15" s="48" t="s">
        <v>19</v>
      </c>
      <c r="E15" s="18" t="s">
        <v>91</v>
      </c>
      <c r="F15" s="18" t="s">
        <v>91</v>
      </c>
      <c r="G15" s="18" t="s">
        <v>91</v>
      </c>
      <c r="H15" s="18" t="s">
        <v>91</v>
      </c>
    </row>
    <row r="16" spans="1:10" x14ac:dyDescent="0.25">
      <c r="A16" t="s">
        <v>195</v>
      </c>
      <c r="B16" s="48">
        <v>3</v>
      </c>
      <c r="C16" s="18">
        <v>0.7</v>
      </c>
      <c r="D16" s="48" t="s">
        <v>19</v>
      </c>
      <c r="E16" s="18" t="s">
        <v>91</v>
      </c>
      <c r="F16" s="18" t="s">
        <v>91</v>
      </c>
      <c r="G16" s="18" t="s">
        <v>91</v>
      </c>
      <c r="H16" s="18" t="s">
        <v>91</v>
      </c>
    </row>
    <row r="17" spans="1:8" x14ac:dyDescent="0.25">
      <c r="A17" t="s">
        <v>196</v>
      </c>
      <c r="B17" s="48">
        <v>7</v>
      </c>
      <c r="C17" s="18">
        <v>6.2</v>
      </c>
      <c r="D17" s="48" t="s">
        <v>19</v>
      </c>
      <c r="E17" s="18" t="s">
        <v>91</v>
      </c>
      <c r="F17" s="18" t="s">
        <v>91</v>
      </c>
      <c r="G17" s="18" t="s">
        <v>91</v>
      </c>
      <c r="H17" s="18" t="s">
        <v>91</v>
      </c>
    </row>
    <row r="18" spans="1:8" x14ac:dyDescent="0.25">
      <c r="A18" t="s">
        <v>197</v>
      </c>
      <c r="B18" s="48">
        <v>88</v>
      </c>
      <c r="C18" s="18">
        <v>0.7</v>
      </c>
      <c r="D18" s="48" t="s">
        <v>19</v>
      </c>
      <c r="E18" s="18" t="s">
        <v>91</v>
      </c>
      <c r="F18" s="18" t="s">
        <v>91</v>
      </c>
      <c r="G18" s="18" t="s">
        <v>91</v>
      </c>
      <c r="H18" s="18" t="s">
        <v>91</v>
      </c>
    </row>
    <row r="19" spans="1:8" x14ac:dyDescent="0.25">
      <c r="A19" t="s">
        <v>198</v>
      </c>
      <c r="B19" s="48">
        <v>21</v>
      </c>
      <c r="C19" s="18">
        <v>8.6999999999999993</v>
      </c>
      <c r="D19" s="48" t="s">
        <v>19</v>
      </c>
      <c r="E19" s="18" t="s">
        <v>91</v>
      </c>
      <c r="F19" s="18" t="s">
        <v>91</v>
      </c>
      <c r="G19" s="18" t="s">
        <v>91</v>
      </c>
      <c r="H19" s="18" t="s">
        <v>91</v>
      </c>
    </row>
    <row r="20" spans="1:8" x14ac:dyDescent="0.25">
      <c r="A20" t="s">
        <v>199</v>
      </c>
      <c r="B20" s="48">
        <v>4</v>
      </c>
      <c r="C20" s="18">
        <v>1.4</v>
      </c>
      <c r="D20" s="48" t="s">
        <v>19</v>
      </c>
      <c r="E20" s="18" t="s">
        <v>91</v>
      </c>
      <c r="F20" s="18" t="s">
        <v>91</v>
      </c>
      <c r="G20" s="18" t="s">
        <v>91</v>
      </c>
      <c r="H20" s="18" t="s">
        <v>91</v>
      </c>
    </row>
    <row r="21" spans="1:8" x14ac:dyDescent="0.25">
      <c r="A21" t="s">
        <v>200</v>
      </c>
      <c r="B21" s="48">
        <v>72</v>
      </c>
      <c r="C21" s="18">
        <v>2.2000000000000002</v>
      </c>
      <c r="D21" s="48" t="s">
        <v>19</v>
      </c>
      <c r="E21" s="18" t="s">
        <v>92</v>
      </c>
      <c r="F21" s="18" t="s">
        <v>92</v>
      </c>
      <c r="G21" s="18" t="s">
        <v>91</v>
      </c>
      <c r="H21" s="18" t="s">
        <v>91</v>
      </c>
    </row>
    <row r="22" spans="1:8" x14ac:dyDescent="0.25">
      <c r="A22" t="s">
        <v>201</v>
      </c>
      <c r="B22" s="48">
        <v>14</v>
      </c>
      <c r="C22" s="18">
        <v>1</v>
      </c>
      <c r="D22" s="48" t="s">
        <v>19</v>
      </c>
      <c r="E22" s="18" t="s">
        <v>91</v>
      </c>
      <c r="F22" s="18" t="s">
        <v>91</v>
      </c>
      <c r="G22" s="18" t="s">
        <v>91</v>
      </c>
      <c r="H22" s="18" t="s">
        <v>91</v>
      </c>
    </row>
    <row r="23" spans="1:8" x14ac:dyDescent="0.25">
      <c r="A23" t="s">
        <v>202</v>
      </c>
      <c r="B23" s="48">
        <v>1</v>
      </c>
      <c r="C23" s="18">
        <v>0.6</v>
      </c>
      <c r="D23" s="48" t="s">
        <v>19</v>
      </c>
      <c r="E23" s="18" t="s">
        <v>91</v>
      </c>
      <c r="F23" s="18" t="s">
        <v>91</v>
      </c>
      <c r="G23" s="18" t="s">
        <v>91</v>
      </c>
      <c r="H23" s="18" t="s">
        <v>91</v>
      </c>
    </row>
    <row r="24" spans="1:8" x14ac:dyDescent="0.25">
      <c r="A24" t="s">
        <v>203</v>
      </c>
      <c r="B24" s="48">
        <v>88</v>
      </c>
      <c r="C24" s="18">
        <v>1.6</v>
      </c>
      <c r="D24" s="48" t="s">
        <v>19</v>
      </c>
      <c r="E24" s="18" t="s">
        <v>91</v>
      </c>
      <c r="F24" s="18" t="s">
        <v>91</v>
      </c>
      <c r="G24" s="18" t="s">
        <v>91</v>
      </c>
      <c r="H24" s="18" t="s">
        <v>91</v>
      </c>
    </row>
    <row r="25" spans="1:8" x14ac:dyDescent="0.25">
      <c r="A25" t="s">
        <v>204</v>
      </c>
      <c r="B25" s="48">
        <v>3</v>
      </c>
      <c r="C25" s="18">
        <v>1.3</v>
      </c>
      <c r="D25" s="48" t="s">
        <v>19</v>
      </c>
      <c r="E25" s="18" t="s">
        <v>91</v>
      </c>
      <c r="F25" s="18" t="s">
        <v>91</v>
      </c>
      <c r="G25" s="18" t="s">
        <v>91</v>
      </c>
      <c r="H25" s="18" t="s">
        <v>91</v>
      </c>
    </row>
    <row r="26" spans="1:8" x14ac:dyDescent="0.25">
      <c r="A26" t="s">
        <v>205</v>
      </c>
      <c r="B26" s="48">
        <v>3</v>
      </c>
      <c r="C26" s="18">
        <v>0.6</v>
      </c>
      <c r="D26" s="48" t="s">
        <v>19</v>
      </c>
      <c r="E26" s="18" t="s">
        <v>91</v>
      </c>
      <c r="F26" s="18" t="s">
        <v>91</v>
      </c>
      <c r="G26" s="18" t="s">
        <v>91</v>
      </c>
      <c r="H26" s="18" t="s">
        <v>91</v>
      </c>
    </row>
    <row r="27" spans="1:8" x14ac:dyDescent="0.25">
      <c r="A27" t="s">
        <v>206</v>
      </c>
      <c r="B27" s="48">
        <v>19</v>
      </c>
      <c r="C27" s="18">
        <v>0.6</v>
      </c>
      <c r="D27" s="48" t="s">
        <v>19</v>
      </c>
      <c r="E27" s="18" t="s">
        <v>92</v>
      </c>
      <c r="F27" s="18" t="s">
        <v>91</v>
      </c>
      <c r="G27" s="18" t="s">
        <v>91</v>
      </c>
      <c r="H27" s="18" t="s">
        <v>91</v>
      </c>
    </row>
    <row r="28" spans="1:8" x14ac:dyDescent="0.25">
      <c r="A28" t="s">
        <v>207</v>
      </c>
      <c r="B28" s="48">
        <v>11</v>
      </c>
      <c r="C28" s="18">
        <v>0.5</v>
      </c>
      <c r="D28" s="48" t="s">
        <v>19</v>
      </c>
      <c r="E28" s="18" t="s">
        <v>258</v>
      </c>
      <c r="F28" s="18" t="s">
        <v>91</v>
      </c>
      <c r="G28" s="18" t="s">
        <v>91</v>
      </c>
      <c r="H28" s="18" t="s">
        <v>91</v>
      </c>
    </row>
    <row r="29" spans="1:8" x14ac:dyDescent="0.25">
      <c r="A29" t="s">
        <v>208</v>
      </c>
      <c r="B29" s="48">
        <v>20</v>
      </c>
      <c r="C29" s="18">
        <v>0.9</v>
      </c>
      <c r="D29" s="48" t="s">
        <v>19</v>
      </c>
      <c r="E29" s="18" t="s">
        <v>91</v>
      </c>
      <c r="F29" s="18" t="s">
        <v>91</v>
      </c>
      <c r="G29" s="18" t="s">
        <v>91</v>
      </c>
      <c r="H29" s="18" t="s">
        <v>91</v>
      </c>
    </row>
    <row r="30" spans="1:8" x14ac:dyDescent="0.25">
      <c r="A30" t="s">
        <v>209</v>
      </c>
      <c r="B30" s="48">
        <v>16</v>
      </c>
      <c r="C30" s="18">
        <v>12.1</v>
      </c>
      <c r="D30" s="48">
        <v>0.1</v>
      </c>
      <c r="E30" s="18" t="s">
        <v>91</v>
      </c>
      <c r="F30" s="18" t="s">
        <v>91</v>
      </c>
      <c r="G30" s="18" t="s">
        <v>91</v>
      </c>
      <c r="H30" s="18" t="s">
        <v>91</v>
      </c>
    </row>
    <row r="31" spans="1:8" x14ac:dyDescent="0.25">
      <c r="A31" t="s">
        <v>210</v>
      </c>
      <c r="B31" s="48">
        <v>20</v>
      </c>
      <c r="C31" s="18">
        <v>0.6</v>
      </c>
      <c r="D31" s="48" t="s">
        <v>19</v>
      </c>
      <c r="E31" s="18" t="s">
        <v>91</v>
      </c>
      <c r="F31" s="18" t="s">
        <v>91</v>
      </c>
      <c r="G31" s="18" t="s">
        <v>91</v>
      </c>
      <c r="H31" s="18" t="s">
        <v>91</v>
      </c>
    </row>
    <row r="32" spans="1:8" x14ac:dyDescent="0.25">
      <c r="A32" t="s">
        <v>211</v>
      </c>
      <c r="B32" s="48">
        <v>17</v>
      </c>
      <c r="C32" s="18">
        <v>6.8</v>
      </c>
      <c r="D32" s="48">
        <v>0.03</v>
      </c>
      <c r="E32" s="18" t="s">
        <v>91</v>
      </c>
      <c r="F32" s="18" t="s">
        <v>91</v>
      </c>
      <c r="G32" s="18" t="s">
        <v>91</v>
      </c>
      <c r="H32" s="18" t="s">
        <v>91</v>
      </c>
    </row>
    <row r="33" spans="1:8" x14ac:dyDescent="0.25">
      <c r="A33" t="s">
        <v>212</v>
      </c>
      <c r="B33" s="48">
        <v>14</v>
      </c>
      <c r="C33" s="18">
        <v>0.5</v>
      </c>
      <c r="D33" s="48" t="s">
        <v>19</v>
      </c>
      <c r="E33" s="18" t="s">
        <v>91</v>
      </c>
      <c r="F33" s="18" t="s">
        <v>91</v>
      </c>
      <c r="G33" s="18" t="s">
        <v>91</v>
      </c>
      <c r="H33" s="18" t="s">
        <v>91</v>
      </c>
    </row>
    <row r="34" spans="1:8" x14ac:dyDescent="0.25">
      <c r="A34" t="s">
        <v>213</v>
      </c>
      <c r="B34" s="48">
        <v>497</v>
      </c>
      <c r="C34" s="18">
        <v>2.2999999999999998</v>
      </c>
      <c r="D34" s="48" t="s">
        <v>19</v>
      </c>
      <c r="E34" s="18" t="s">
        <v>92</v>
      </c>
      <c r="F34" s="18" t="s">
        <v>92</v>
      </c>
      <c r="G34" s="18" t="s">
        <v>92</v>
      </c>
      <c r="H34" s="18" t="s">
        <v>91</v>
      </c>
    </row>
    <row r="35" spans="1:8" x14ac:dyDescent="0.25">
      <c r="A35" t="s">
        <v>214</v>
      </c>
      <c r="B35" s="48">
        <v>10</v>
      </c>
      <c r="C35" s="18">
        <v>0.7</v>
      </c>
      <c r="D35" s="48">
        <v>2</v>
      </c>
      <c r="E35" s="18" t="s">
        <v>92</v>
      </c>
      <c r="F35" s="18" t="s">
        <v>92</v>
      </c>
      <c r="G35" s="18" t="s">
        <v>91</v>
      </c>
      <c r="H35" s="18" t="s">
        <v>91</v>
      </c>
    </row>
    <row r="36" spans="1:8" x14ac:dyDescent="0.25">
      <c r="A36" t="s">
        <v>215</v>
      </c>
      <c r="B36" s="48">
        <v>0</v>
      </c>
      <c r="C36" s="18">
        <v>1.9</v>
      </c>
      <c r="D36" s="48" t="s">
        <v>19</v>
      </c>
      <c r="E36" s="18" t="s">
        <v>91</v>
      </c>
      <c r="F36" s="18" t="s">
        <v>91</v>
      </c>
      <c r="G36" s="18" t="s">
        <v>91</v>
      </c>
      <c r="H36" s="18" t="s">
        <v>91</v>
      </c>
    </row>
    <row r="37" spans="1:8" x14ac:dyDescent="0.25">
      <c r="A37" t="s">
        <v>216</v>
      </c>
      <c r="B37" s="48">
        <v>25</v>
      </c>
      <c r="C37" s="18">
        <v>1.5</v>
      </c>
      <c r="D37" s="48" t="s">
        <v>19</v>
      </c>
      <c r="E37" s="18" t="s">
        <v>91</v>
      </c>
      <c r="F37" s="18" t="s">
        <v>91</v>
      </c>
      <c r="G37" s="18" t="s">
        <v>91</v>
      </c>
      <c r="H37" s="18" t="s">
        <v>91</v>
      </c>
    </row>
    <row r="38" spans="1:8" x14ac:dyDescent="0.25">
      <c r="A38" t="s">
        <v>217</v>
      </c>
      <c r="B38" s="48">
        <v>1</v>
      </c>
      <c r="C38" s="18">
        <v>13.5</v>
      </c>
      <c r="D38" s="48" t="s">
        <v>19</v>
      </c>
      <c r="E38" s="18" t="s">
        <v>91</v>
      </c>
      <c r="F38" s="18" t="s">
        <v>91</v>
      </c>
      <c r="G38" s="18" t="s">
        <v>91</v>
      </c>
      <c r="H38" s="18" t="s">
        <v>91</v>
      </c>
    </row>
    <row r="39" spans="1:8" x14ac:dyDescent="0.25">
      <c r="A39" t="s">
        <v>218</v>
      </c>
      <c r="B39" s="48">
        <v>6</v>
      </c>
      <c r="C39" s="18">
        <v>0.7</v>
      </c>
      <c r="D39" s="48" t="s">
        <v>19</v>
      </c>
      <c r="E39" s="18" t="s">
        <v>91</v>
      </c>
      <c r="F39" s="18" t="s">
        <v>91</v>
      </c>
      <c r="G39" s="18" t="s">
        <v>91</v>
      </c>
      <c r="H39" s="18" t="s">
        <v>91</v>
      </c>
    </row>
    <row r="40" spans="1:8" x14ac:dyDescent="0.25">
      <c r="A40" t="s">
        <v>219</v>
      </c>
      <c r="B40" s="48">
        <v>527</v>
      </c>
      <c r="C40" s="18">
        <v>8.8000000000000007</v>
      </c>
      <c r="D40" s="48">
        <v>22.9</v>
      </c>
      <c r="E40" s="18" t="s">
        <v>92</v>
      </c>
      <c r="F40" s="18" t="s">
        <v>92</v>
      </c>
      <c r="G40" s="18" t="s">
        <v>91</v>
      </c>
      <c r="H40" s="18" t="s">
        <v>91</v>
      </c>
    </row>
    <row r="41" spans="1:8" x14ac:dyDescent="0.25">
      <c r="A41" t="s">
        <v>220</v>
      </c>
      <c r="B41" s="48">
        <v>15</v>
      </c>
      <c r="C41" s="18">
        <v>1.4</v>
      </c>
      <c r="D41" s="48" t="s">
        <v>19</v>
      </c>
      <c r="E41" s="18" t="s">
        <v>91</v>
      </c>
      <c r="F41" s="18" t="s">
        <v>91</v>
      </c>
      <c r="G41" s="18" t="s">
        <v>91</v>
      </c>
      <c r="H41" s="18" t="s">
        <v>91</v>
      </c>
    </row>
    <row r="42" spans="1:8" x14ac:dyDescent="0.25">
      <c r="A42" t="s">
        <v>221</v>
      </c>
      <c r="B42" s="48">
        <v>61</v>
      </c>
      <c r="C42" s="18">
        <v>0.9</v>
      </c>
      <c r="D42" s="48" t="s">
        <v>19</v>
      </c>
      <c r="E42" s="18" t="s">
        <v>92</v>
      </c>
      <c r="F42" s="18" t="s">
        <v>92</v>
      </c>
      <c r="G42" s="18" t="s">
        <v>91</v>
      </c>
      <c r="H42" s="18" t="s">
        <v>91</v>
      </c>
    </row>
    <row r="43" spans="1:8" x14ac:dyDescent="0.25">
      <c r="A43" t="s">
        <v>222</v>
      </c>
      <c r="B43" s="48">
        <v>8</v>
      </c>
      <c r="C43" s="18">
        <v>0.9</v>
      </c>
      <c r="D43" s="48" t="s">
        <v>19</v>
      </c>
      <c r="E43" s="18" t="s">
        <v>91</v>
      </c>
      <c r="F43" s="18" t="s">
        <v>91</v>
      </c>
      <c r="G43" s="18" t="s">
        <v>91</v>
      </c>
      <c r="H43" s="18" t="s">
        <v>91</v>
      </c>
    </row>
    <row r="44" spans="1:8" x14ac:dyDescent="0.25">
      <c r="A44" t="s">
        <v>223</v>
      </c>
      <c r="B44" s="48">
        <v>41</v>
      </c>
      <c r="C44" s="18">
        <v>0.9</v>
      </c>
      <c r="D44" s="48">
        <v>0.2</v>
      </c>
      <c r="E44" s="18" t="s">
        <v>92</v>
      </c>
      <c r="F44" s="18" t="s">
        <v>91</v>
      </c>
      <c r="G44" s="18" t="s">
        <v>91</v>
      </c>
      <c r="H44" s="18" t="s">
        <v>91</v>
      </c>
    </row>
    <row r="45" spans="1:8" x14ac:dyDescent="0.25">
      <c r="A45" t="s">
        <v>224</v>
      </c>
      <c r="B45" s="48">
        <v>23</v>
      </c>
      <c r="C45" s="18">
        <v>1.1000000000000001</v>
      </c>
      <c r="D45" s="48" t="s">
        <v>19</v>
      </c>
      <c r="E45" s="18" t="s">
        <v>92</v>
      </c>
      <c r="F45" s="18" t="s">
        <v>92</v>
      </c>
      <c r="G45" s="18" t="s">
        <v>91</v>
      </c>
      <c r="H45" s="18" t="s">
        <v>91</v>
      </c>
    </row>
    <row r="46" spans="1:8" x14ac:dyDescent="0.25">
      <c r="A46" t="s">
        <v>225</v>
      </c>
      <c r="B46" s="48">
        <v>17</v>
      </c>
      <c r="C46" s="18">
        <v>1.1000000000000001</v>
      </c>
      <c r="D46" s="48">
        <v>0.03</v>
      </c>
      <c r="E46" s="18" t="s">
        <v>91</v>
      </c>
      <c r="F46" s="18" t="s">
        <v>91</v>
      </c>
      <c r="G46" s="18" t="s">
        <v>91</v>
      </c>
      <c r="H46" s="18" t="s">
        <v>91</v>
      </c>
    </row>
    <row r="48" spans="1:8" x14ac:dyDescent="0.25">
      <c r="A48" t="s">
        <v>257</v>
      </c>
    </row>
    <row r="49" spans="1:1" x14ac:dyDescent="0.25">
      <c r="A49" t="s">
        <v>93</v>
      </c>
    </row>
  </sheetData>
  <hyperlinks>
    <hyperlink ref="J2" location="Contents!A1" display="Return to Contents" xr:uid="{D9326989-0392-43B3-8779-67C739C59DAA}"/>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522D-3B55-42F3-B230-EDCEAEDCECDC}">
  <sheetPr codeName="Sheet20"/>
  <dimension ref="A1:E4"/>
  <sheetViews>
    <sheetView workbookViewId="0"/>
  </sheetViews>
  <sheetFormatPr defaultRowHeight="15" x14ac:dyDescent="0.25"/>
  <cols>
    <col min="1" max="1" width="18.42578125" customWidth="1"/>
  </cols>
  <sheetData>
    <row r="1" spans="1:5" x14ac:dyDescent="0.25">
      <c r="A1" s="1" t="s">
        <v>94</v>
      </c>
      <c r="E1" s="34" t="s">
        <v>17</v>
      </c>
    </row>
    <row r="2" spans="1:5" x14ac:dyDescent="0.25">
      <c r="A2" t="s">
        <v>161</v>
      </c>
      <c r="B2" s="16">
        <v>2017</v>
      </c>
      <c r="C2" s="16">
        <v>2018</v>
      </c>
      <c r="D2" s="16">
        <v>2021</v>
      </c>
      <c r="E2" s="16">
        <v>2024</v>
      </c>
    </row>
    <row r="3" spans="1:5" x14ac:dyDescent="0.25">
      <c r="A3" t="s">
        <v>227</v>
      </c>
      <c r="B3" s="4">
        <v>21.45</v>
      </c>
      <c r="C3" s="4">
        <v>27.39</v>
      </c>
      <c r="D3" s="4">
        <v>35.119999999999997</v>
      </c>
      <c r="E3" s="4">
        <v>57.18</v>
      </c>
    </row>
    <row r="4" spans="1:5" x14ac:dyDescent="0.25">
      <c r="A4" s="19" t="s">
        <v>24</v>
      </c>
      <c r="B4" s="20">
        <v>35.65</v>
      </c>
      <c r="C4" s="20">
        <v>47</v>
      </c>
      <c r="D4" s="20">
        <v>51.71</v>
      </c>
      <c r="E4" s="20">
        <v>65.790000000000006</v>
      </c>
    </row>
  </sheetData>
  <hyperlinks>
    <hyperlink ref="E1" location="Contents!A1" display="Return to Contents" xr:uid="{4A105175-76F2-45EA-8F3E-608C049A4F5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1CAB-03EC-46EF-AF88-46AFACC2635A}">
  <sheetPr codeName="Sheet21"/>
  <dimension ref="A1:G48"/>
  <sheetViews>
    <sheetView workbookViewId="0"/>
  </sheetViews>
  <sheetFormatPr defaultRowHeight="15" x14ac:dyDescent="0.25"/>
  <cols>
    <col min="1" max="1" width="24.28515625" customWidth="1"/>
    <col min="2" max="7" width="16" customWidth="1"/>
  </cols>
  <sheetData>
    <row r="1" spans="1:7" x14ac:dyDescent="0.25">
      <c r="A1" s="1" t="s">
        <v>95</v>
      </c>
      <c r="G1" s="34" t="s">
        <v>17</v>
      </c>
    </row>
    <row r="2" spans="1:7" ht="27" x14ac:dyDescent="0.25">
      <c r="A2" s="21"/>
      <c r="B2" s="23" t="s">
        <v>96</v>
      </c>
      <c r="C2" s="23" t="s">
        <v>97</v>
      </c>
      <c r="D2" s="23" t="s">
        <v>98</v>
      </c>
      <c r="E2" s="23" t="s">
        <v>99</v>
      </c>
      <c r="F2" s="23" t="s">
        <v>100</v>
      </c>
      <c r="G2" s="23" t="s">
        <v>101</v>
      </c>
    </row>
    <row r="3" spans="1:7" x14ac:dyDescent="0.25">
      <c r="A3" s="22" t="s">
        <v>183</v>
      </c>
      <c r="B3" s="24">
        <v>13.666458775510204</v>
      </c>
      <c r="C3" s="24">
        <v>1.7761403091557666</v>
      </c>
      <c r="D3" s="24">
        <v>5.7956493236212285</v>
      </c>
      <c r="E3" s="24">
        <v>3.0674195186465711</v>
      </c>
      <c r="F3" s="24">
        <v>15.3302172481896</v>
      </c>
      <c r="G3" s="25">
        <v>39.63588517512337</v>
      </c>
    </row>
    <row r="4" spans="1:7" x14ac:dyDescent="0.25">
      <c r="A4" s="22" t="s">
        <v>184</v>
      </c>
      <c r="B4" s="24">
        <v>20</v>
      </c>
      <c r="C4" s="24">
        <v>19.286690390231897</v>
      </c>
      <c r="D4" s="24">
        <v>20</v>
      </c>
      <c r="E4" s="24">
        <v>17.974240582726328</v>
      </c>
      <c r="F4" s="24">
        <v>14.280447662936142</v>
      </c>
      <c r="G4" s="25">
        <v>91.541378635894361</v>
      </c>
    </row>
    <row r="5" spans="1:7" x14ac:dyDescent="0.25">
      <c r="A5" s="22" t="s">
        <v>185</v>
      </c>
      <c r="B5" s="24">
        <v>19.518716734693879</v>
      </c>
      <c r="C5" s="24">
        <v>16.53164608567927</v>
      </c>
      <c r="D5" s="24">
        <v>15.121536296868179</v>
      </c>
      <c r="E5" s="24">
        <v>13.475008126749691</v>
      </c>
      <c r="F5" s="24">
        <v>14.108492429229756</v>
      </c>
      <c r="G5" s="25">
        <v>78.755399673220779</v>
      </c>
    </row>
    <row r="6" spans="1:7" x14ac:dyDescent="0.25">
      <c r="A6" s="22" t="s">
        <v>186</v>
      </c>
      <c r="B6" s="24">
        <v>14.176169795918367</v>
      </c>
      <c r="C6" s="24">
        <v>12.70356285210546</v>
      </c>
      <c r="D6" s="24">
        <v>15.164242455775232</v>
      </c>
      <c r="E6" s="24">
        <v>11.76291287113558</v>
      </c>
      <c r="F6" s="24">
        <v>16.584610175867581</v>
      </c>
      <c r="G6" s="25">
        <v>70.391498150802221</v>
      </c>
    </row>
    <row r="7" spans="1:7" x14ac:dyDescent="0.25">
      <c r="A7" s="22" t="s">
        <v>187</v>
      </c>
      <c r="B7" s="24">
        <v>9.9039441893877544</v>
      </c>
      <c r="C7" s="24">
        <v>0</v>
      </c>
      <c r="D7" s="24">
        <v>0</v>
      </c>
      <c r="E7" s="24">
        <v>1.0277760665972946</v>
      </c>
      <c r="F7" s="24">
        <v>5.8376198156682033</v>
      </c>
      <c r="G7" s="25">
        <v>16.769340071653254</v>
      </c>
    </row>
    <row r="8" spans="1:7" x14ac:dyDescent="0.25">
      <c r="A8" s="22" t="s">
        <v>189</v>
      </c>
      <c r="B8" s="24">
        <v>17.358131826005831</v>
      </c>
      <c r="C8" s="24">
        <v>7.9156242568370994</v>
      </c>
      <c r="D8" s="24">
        <v>12.052112526601992</v>
      </c>
      <c r="E8" s="24">
        <v>2.1935208620053048</v>
      </c>
      <c r="F8" s="24">
        <v>12.023268268597763</v>
      </c>
      <c r="G8" s="25">
        <v>51.542657740047993</v>
      </c>
    </row>
    <row r="9" spans="1:7" x14ac:dyDescent="0.25">
      <c r="A9" s="22" t="s">
        <v>188</v>
      </c>
      <c r="B9" s="24">
        <v>17.917466122448978</v>
      </c>
      <c r="C9" s="24">
        <v>6.1794249210709751</v>
      </c>
      <c r="D9" s="24">
        <v>12.855753381893859</v>
      </c>
      <c r="E9" s="24">
        <v>14.253503632640731</v>
      </c>
      <c r="F9" s="24">
        <v>14.327430781529202</v>
      </c>
      <c r="G9" s="25">
        <v>65.53357883958374</v>
      </c>
    </row>
    <row r="10" spans="1:7" x14ac:dyDescent="0.25">
      <c r="A10" s="22" t="s">
        <v>190</v>
      </c>
      <c r="B10" s="24">
        <v>4.7579657142857137</v>
      </c>
      <c r="C10" s="24">
        <v>0</v>
      </c>
      <c r="D10" s="24">
        <v>0</v>
      </c>
      <c r="E10" s="24">
        <v>0</v>
      </c>
      <c r="F10" s="24">
        <v>0</v>
      </c>
      <c r="G10" s="25">
        <v>4.7579657142857137</v>
      </c>
    </row>
    <row r="11" spans="1:7" x14ac:dyDescent="0.25">
      <c r="A11" s="22" t="s">
        <v>191</v>
      </c>
      <c r="B11" s="24">
        <v>12.939832631603498</v>
      </c>
      <c r="C11" s="24">
        <v>3.167626634958383</v>
      </c>
      <c r="D11" s="24">
        <v>11.344627471383973</v>
      </c>
      <c r="E11" s="24">
        <v>6.9454583223121089</v>
      </c>
      <c r="F11" s="24">
        <v>14.280447662936142</v>
      </c>
      <c r="G11" s="25">
        <v>48.677992723194102</v>
      </c>
    </row>
    <row r="12" spans="1:7" x14ac:dyDescent="0.25">
      <c r="A12" s="22" t="s">
        <v>192</v>
      </c>
      <c r="B12" s="24">
        <v>14.117526530612244</v>
      </c>
      <c r="C12" s="24">
        <v>0</v>
      </c>
      <c r="D12" s="24">
        <v>3.8972695109261197</v>
      </c>
      <c r="E12" s="24">
        <v>0.71839667013527575</v>
      </c>
      <c r="F12" s="24">
        <v>8.8693512179065177</v>
      </c>
      <c r="G12" s="25">
        <v>27.602543929580158</v>
      </c>
    </row>
    <row r="13" spans="1:7" x14ac:dyDescent="0.25">
      <c r="A13" s="22" t="s">
        <v>193</v>
      </c>
      <c r="B13" s="24">
        <v>19.43093551020408</v>
      </c>
      <c r="C13" s="24">
        <v>15.296551724137933</v>
      </c>
      <c r="D13" s="24">
        <v>17.892576482830385</v>
      </c>
      <c r="E13" s="24">
        <v>11.260739699372294</v>
      </c>
      <c r="F13" s="24">
        <v>15.068744474748426</v>
      </c>
      <c r="G13" s="25">
        <v>78.949547891293122</v>
      </c>
    </row>
    <row r="14" spans="1:7" x14ac:dyDescent="0.25">
      <c r="A14" s="22" t="s">
        <v>249</v>
      </c>
      <c r="B14" s="24">
        <v>17.275755102040815</v>
      </c>
      <c r="C14" s="24">
        <v>5.4549332010332527</v>
      </c>
      <c r="D14" s="24">
        <v>14.509185120338358</v>
      </c>
      <c r="E14" s="24">
        <v>9.0663327496223722</v>
      </c>
      <c r="F14" s="24">
        <v>10.44630974325214</v>
      </c>
      <c r="G14" s="25">
        <v>56.752515916286939</v>
      </c>
    </row>
    <row r="15" spans="1:7" x14ac:dyDescent="0.25">
      <c r="A15" s="22" t="s">
        <v>194</v>
      </c>
      <c r="B15" s="24">
        <v>6.6162651689795915</v>
      </c>
      <c r="C15" s="24">
        <v>1.391486325802616</v>
      </c>
      <c r="D15" s="24">
        <v>6.4300083246618112</v>
      </c>
      <c r="E15" s="24">
        <v>2.1358318649256494</v>
      </c>
      <c r="F15" s="24">
        <v>8.8693512179065177</v>
      </c>
      <c r="G15" s="25">
        <v>25.442942902276187</v>
      </c>
    </row>
    <row r="16" spans="1:7" x14ac:dyDescent="0.25">
      <c r="A16" s="22" t="s">
        <v>195</v>
      </c>
      <c r="B16" s="24">
        <v>1.7578151314285715</v>
      </c>
      <c r="C16" s="24">
        <v>0</v>
      </c>
      <c r="D16" s="24">
        <v>0</v>
      </c>
      <c r="E16" s="24">
        <v>0</v>
      </c>
      <c r="F16" s="24">
        <v>0.44747563398343215</v>
      </c>
      <c r="G16" s="25">
        <v>2.2052907654120038</v>
      </c>
    </row>
    <row r="17" spans="1:7" x14ac:dyDescent="0.25">
      <c r="A17" s="22" t="s">
        <v>196</v>
      </c>
      <c r="B17" s="24">
        <v>18.203511836734691</v>
      </c>
      <c r="C17" s="24">
        <v>14.962901562200646</v>
      </c>
      <c r="D17" s="24">
        <v>18.35806451612903</v>
      </c>
      <c r="E17" s="24">
        <v>10.208989046624822</v>
      </c>
      <c r="F17" s="24">
        <v>17.695837487068562</v>
      </c>
      <c r="G17" s="25">
        <v>79.429304448757748</v>
      </c>
    </row>
    <row r="18" spans="1:7" x14ac:dyDescent="0.25">
      <c r="A18" s="22" t="s">
        <v>197</v>
      </c>
      <c r="B18" s="24">
        <v>18.833115102040814</v>
      </c>
      <c r="C18" s="24">
        <v>14.365903136324405</v>
      </c>
      <c r="D18" s="24">
        <v>12.122301123829345</v>
      </c>
      <c r="E18" s="24">
        <v>15.496356653217418</v>
      </c>
      <c r="F18" s="24">
        <v>15.689658907900718</v>
      </c>
      <c r="G18" s="25">
        <v>76.507334923312698</v>
      </c>
    </row>
    <row r="19" spans="1:7" x14ac:dyDescent="0.25">
      <c r="A19" s="22" t="s">
        <v>198</v>
      </c>
      <c r="B19" s="24">
        <v>20</v>
      </c>
      <c r="C19" s="24">
        <v>0</v>
      </c>
      <c r="D19" s="24">
        <v>5.5117169614984398</v>
      </c>
      <c r="E19" s="24">
        <v>4.8834873490651542</v>
      </c>
      <c r="F19" s="24">
        <v>9.4538666318987268</v>
      </c>
      <c r="G19" s="25">
        <v>39.849070942462319</v>
      </c>
    </row>
    <row r="20" spans="1:7" x14ac:dyDescent="0.25">
      <c r="A20" s="22" t="s">
        <v>199</v>
      </c>
      <c r="B20" s="24">
        <v>14.773925585539358</v>
      </c>
      <c r="C20" s="24">
        <v>10.335372602402725</v>
      </c>
      <c r="D20" s="24">
        <v>15.768445369406868</v>
      </c>
      <c r="E20" s="24">
        <v>8.7007926055520137</v>
      </c>
      <c r="F20" s="24">
        <v>12.154004655318349</v>
      </c>
      <c r="G20" s="25">
        <v>61.732540818219306</v>
      </c>
    </row>
    <row r="21" spans="1:7" x14ac:dyDescent="0.25">
      <c r="A21" s="22" t="s">
        <v>200</v>
      </c>
      <c r="B21" s="24">
        <v>20</v>
      </c>
      <c r="C21" s="24">
        <v>20</v>
      </c>
      <c r="D21" s="24">
        <v>20</v>
      </c>
      <c r="E21" s="24">
        <v>19.272152341311138</v>
      </c>
      <c r="F21" s="24">
        <v>20</v>
      </c>
      <c r="G21" s="25">
        <v>99.272152341311141</v>
      </c>
    </row>
    <row r="22" spans="1:7" x14ac:dyDescent="0.25">
      <c r="A22" s="22" t="s">
        <v>201</v>
      </c>
      <c r="B22" s="24">
        <v>16.266271020408162</v>
      </c>
      <c r="C22" s="24">
        <v>3.978318668252081</v>
      </c>
      <c r="D22" s="24">
        <v>14.382998959417272</v>
      </c>
      <c r="E22" s="24">
        <v>9.899011313752478</v>
      </c>
      <c r="F22" s="24">
        <v>12.023268268597763</v>
      </c>
      <c r="G22" s="25">
        <v>56.549868230427748</v>
      </c>
    </row>
    <row r="23" spans="1:7" x14ac:dyDescent="0.25">
      <c r="A23" s="22" t="s">
        <v>202</v>
      </c>
      <c r="B23" s="24">
        <v>0</v>
      </c>
      <c r="C23" s="24">
        <v>0</v>
      </c>
      <c r="D23" s="24">
        <v>0</v>
      </c>
      <c r="E23" s="24">
        <v>0</v>
      </c>
      <c r="F23" s="24">
        <v>6.4316473008558273</v>
      </c>
      <c r="G23" s="25">
        <v>6.4316473008558273</v>
      </c>
    </row>
    <row r="24" spans="1:7" x14ac:dyDescent="0.25">
      <c r="A24" s="22" t="s">
        <v>203</v>
      </c>
      <c r="B24" s="24">
        <v>19.518716734693879</v>
      </c>
      <c r="C24" s="24">
        <v>19.073045293174914</v>
      </c>
      <c r="D24" s="24">
        <v>20</v>
      </c>
      <c r="E24" s="24">
        <v>20</v>
      </c>
      <c r="F24" s="24">
        <v>20</v>
      </c>
      <c r="G24" s="25">
        <v>98.591762027868796</v>
      </c>
    </row>
    <row r="25" spans="1:7" x14ac:dyDescent="0.25">
      <c r="A25" s="22" t="s">
        <v>204</v>
      </c>
      <c r="B25" s="24">
        <v>7.53758530612245</v>
      </c>
      <c r="C25" s="24">
        <v>2.7519978347540226</v>
      </c>
      <c r="D25" s="24">
        <v>3.846112382934443</v>
      </c>
      <c r="E25" s="24">
        <v>5.2733635796045792</v>
      </c>
      <c r="F25" s="24">
        <v>11.173513730837959</v>
      </c>
      <c r="G25" s="25">
        <v>30.582572834253455</v>
      </c>
    </row>
    <row r="26" spans="1:7" x14ac:dyDescent="0.25">
      <c r="A26" s="22" t="s">
        <v>205</v>
      </c>
      <c r="B26" s="24">
        <v>8.1541748440816324</v>
      </c>
      <c r="C26" s="24">
        <v>0</v>
      </c>
      <c r="D26" s="24">
        <v>2.7590718002081163</v>
      </c>
      <c r="E26" s="24">
        <v>1.5623871488704637</v>
      </c>
      <c r="F26" s="24">
        <v>8.8693512179065177</v>
      </c>
      <c r="G26" s="25">
        <v>21.344985011066733</v>
      </c>
    </row>
    <row r="27" spans="1:7" x14ac:dyDescent="0.25">
      <c r="A27" s="22" t="s">
        <v>206</v>
      </c>
      <c r="B27" s="24">
        <v>13.545351536326532</v>
      </c>
      <c r="C27" s="24">
        <v>2.8774149821640913</v>
      </c>
      <c r="D27" s="24">
        <v>4.022466181061394</v>
      </c>
      <c r="E27" s="24">
        <v>5.4208668287737911</v>
      </c>
      <c r="F27" s="24">
        <v>5.8376198156682033</v>
      </c>
      <c r="G27" s="25">
        <v>31.70371934399401</v>
      </c>
    </row>
    <row r="28" spans="1:7" x14ac:dyDescent="0.25">
      <c r="A28" s="22" t="s">
        <v>207</v>
      </c>
      <c r="B28" s="24">
        <v>18.156594285714284</v>
      </c>
      <c r="C28" s="24">
        <v>16.057412295069504</v>
      </c>
      <c r="D28" s="24">
        <v>17.365505723204993</v>
      </c>
      <c r="E28" s="24">
        <v>12.256703890973785</v>
      </c>
      <c r="F28" s="24">
        <v>16.584610175867581</v>
      </c>
      <c r="G28" s="25">
        <v>80.420826370830142</v>
      </c>
    </row>
    <row r="29" spans="1:7" x14ac:dyDescent="0.25">
      <c r="A29" s="22" t="s">
        <v>208</v>
      </c>
      <c r="B29" s="24">
        <v>12.355251407113702</v>
      </c>
      <c r="C29" s="24">
        <v>4.55804085448358</v>
      </c>
      <c r="D29" s="24">
        <v>2.8966690946930287</v>
      </c>
      <c r="E29" s="24">
        <v>0.79087117585848099</v>
      </c>
      <c r="F29" s="24">
        <v>8.8693512179065177</v>
      </c>
      <c r="G29" s="25">
        <v>29.470183750055305</v>
      </c>
    </row>
    <row r="30" spans="1:7" x14ac:dyDescent="0.25">
      <c r="A30" s="22" t="s">
        <v>209</v>
      </c>
      <c r="B30" s="24">
        <v>20</v>
      </c>
      <c r="C30" s="24">
        <v>20</v>
      </c>
      <c r="D30" s="24">
        <v>20</v>
      </c>
      <c r="E30" s="24">
        <v>20</v>
      </c>
      <c r="F30" s="24">
        <v>20</v>
      </c>
      <c r="G30" s="25">
        <v>100</v>
      </c>
    </row>
    <row r="31" spans="1:7" x14ac:dyDescent="0.25">
      <c r="A31" s="22" t="s">
        <v>210</v>
      </c>
      <c r="B31" s="24">
        <v>13.923748571428568</v>
      </c>
      <c r="C31" s="24">
        <v>11.832079729709182</v>
      </c>
      <c r="D31" s="24">
        <v>15.792950052029138</v>
      </c>
      <c r="E31" s="24">
        <v>7.9325317342821666</v>
      </c>
      <c r="F31" s="24">
        <v>16.584610175867581</v>
      </c>
      <c r="G31" s="25">
        <v>66.065920263316627</v>
      </c>
    </row>
    <row r="32" spans="1:7" x14ac:dyDescent="0.25">
      <c r="A32" s="22" t="s">
        <v>211</v>
      </c>
      <c r="B32" s="24">
        <v>5.6630742857142859</v>
      </c>
      <c r="C32" s="24">
        <v>3.5357083406453738</v>
      </c>
      <c r="D32" s="24">
        <v>16.34848699271592</v>
      </c>
      <c r="E32" s="24">
        <v>4.5691862643080148</v>
      </c>
      <c r="F32" s="24">
        <v>6.8074779460171175</v>
      </c>
      <c r="G32" s="25">
        <v>36.92393382940071</v>
      </c>
    </row>
    <row r="33" spans="1:7" x14ac:dyDescent="0.25">
      <c r="A33" s="22" t="s">
        <v>212</v>
      </c>
      <c r="B33" s="24">
        <v>16.784176026122449</v>
      </c>
      <c r="C33" s="24">
        <v>1.391486325802616</v>
      </c>
      <c r="D33" s="24">
        <v>10.715691987513008</v>
      </c>
      <c r="E33" s="24">
        <v>3.9810338128965128</v>
      </c>
      <c r="F33" s="24">
        <v>8.9915368663594482</v>
      </c>
      <c r="G33" s="25">
        <v>41.863925018694033</v>
      </c>
    </row>
    <row r="34" spans="1:7" x14ac:dyDescent="0.25">
      <c r="A34" s="22" t="s">
        <v>213</v>
      </c>
      <c r="B34" s="24">
        <v>19.518716734693879</v>
      </c>
      <c r="C34" s="24">
        <v>18.884074670030166</v>
      </c>
      <c r="D34" s="24">
        <v>16.574193548387097</v>
      </c>
      <c r="E34" s="24">
        <v>13.14443999919439</v>
      </c>
      <c r="F34" s="24">
        <v>14.280447662936142</v>
      </c>
      <c r="G34" s="25">
        <v>82.401872615241672</v>
      </c>
    </row>
    <row r="35" spans="1:7" x14ac:dyDescent="0.25">
      <c r="A35" s="22" t="s">
        <v>214</v>
      </c>
      <c r="B35" s="24">
        <v>20</v>
      </c>
      <c r="C35" s="24">
        <v>18.975996500665524</v>
      </c>
      <c r="D35" s="24">
        <v>19.340808532778354</v>
      </c>
      <c r="E35" s="24">
        <v>19.758367860360512</v>
      </c>
      <c r="F35" s="24">
        <v>20</v>
      </c>
      <c r="G35" s="25">
        <v>98.075172893804393</v>
      </c>
    </row>
    <row r="36" spans="1:7" x14ac:dyDescent="0.25">
      <c r="A36" s="22" t="s">
        <v>215</v>
      </c>
      <c r="B36" s="24">
        <v>9.8285988832653057</v>
      </c>
      <c r="C36" s="24">
        <v>1.391486325802616</v>
      </c>
      <c r="D36" s="24">
        <v>3.1654131113423514</v>
      </c>
      <c r="E36" s="24">
        <v>0.9624495317377737</v>
      </c>
      <c r="F36" s="24">
        <v>5.0936046741277163</v>
      </c>
      <c r="G36" s="25">
        <v>20.441552526275764</v>
      </c>
    </row>
    <row r="37" spans="1:7" x14ac:dyDescent="0.25">
      <c r="A37" s="22" t="s">
        <v>216</v>
      </c>
      <c r="B37" s="24">
        <v>15.564319699591834</v>
      </c>
      <c r="C37" s="24">
        <v>14.414335658805557</v>
      </c>
      <c r="D37" s="24">
        <v>9.0638303850156081</v>
      </c>
      <c r="E37" s="24">
        <v>9.4682012709878833</v>
      </c>
      <c r="F37" s="24">
        <v>18.830969172015582</v>
      </c>
      <c r="G37" s="25">
        <v>67.341656186416458</v>
      </c>
    </row>
    <row r="38" spans="1:7" x14ac:dyDescent="0.25">
      <c r="A38" s="22" t="s">
        <v>217</v>
      </c>
      <c r="B38" s="24">
        <v>16.745070225539358</v>
      </c>
      <c r="C38" s="24">
        <v>3.167626634958383</v>
      </c>
      <c r="D38" s="24">
        <v>10.180824141519251</v>
      </c>
      <c r="E38" s="24">
        <v>6.0319406424759165</v>
      </c>
      <c r="F38" s="24">
        <v>14.280447662936142</v>
      </c>
      <c r="G38" s="25">
        <v>50.405909307429049</v>
      </c>
    </row>
    <row r="39" spans="1:7" x14ac:dyDescent="0.25">
      <c r="A39" s="22" t="s">
        <v>218</v>
      </c>
      <c r="B39" s="24">
        <v>17.29240326530612</v>
      </c>
      <c r="C39" s="24">
        <v>1.391486325802616</v>
      </c>
      <c r="D39" s="24">
        <v>18.805940686784599</v>
      </c>
      <c r="E39" s="24">
        <v>7.1133770607230371</v>
      </c>
      <c r="F39" s="24">
        <v>12.023268268597763</v>
      </c>
      <c r="G39" s="25">
        <v>56.626475607214132</v>
      </c>
    </row>
    <row r="40" spans="1:7" x14ac:dyDescent="0.25">
      <c r="A40" s="22" t="s">
        <v>219</v>
      </c>
      <c r="B40" s="24">
        <v>20</v>
      </c>
      <c r="C40" s="24">
        <v>18.573380780463793</v>
      </c>
      <c r="D40" s="24">
        <v>14.841457003121747</v>
      </c>
      <c r="E40" s="24">
        <v>12.831478075928972</v>
      </c>
      <c r="F40" s="24">
        <v>20</v>
      </c>
      <c r="G40" s="25">
        <v>86.24631585951451</v>
      </c>
    </row>
    <row r="41" spans="1:7" x14ac:dyDescent="0.25">
      <c r="A41" s="22" t="s">
        <v>220</v>
      </c>
      <c r="B41" s="24">
        <v>12.470788271020407</v>
      </c>
      <c r="C41" s="24">
        <v>4.55804085448358</v>
      </c>
      <c r="D41" s="24">
        <v>7.2136077003121741</v>
      </c>
      <c r="E41" s="24">
        <v>1.2656699271592096</v>
      </c>
      <c r="F41" s="24">
        <v>8.8693512179065177</v>
      </c>
      <c r="G41" s="25">
        <v>34.377457970881885</v>
      </c>
    </row>
    <row r="42" spans="1:7" x14ac:dyDescent="0.25">
      <c r="A42" s="22" t="s">
        <v>221</v>
      </c>
      <c r="B42" s="24">
        <v>20</v>
      </c>
      <c r="C42" s="24">
        <v>19.69443307230766</v>
      </c>
      <c r="D42" s="24">
        <v>20</v>
      </c>
      <c r="E42" s="24">
        <v>19.572129032258065</v>
      </c>
      <c r="F42" s="24">
        <v>20</v>
      </c>
      <c r="G42" s="25">
        <v>99.266562104565722</v>
      </c>
    </row>
    <row r="43" spans="1:7" x14ac:dyDescent="0.25">
      <c r="A43" s="22" t="s">
        <v>222</v>
      </c>
      <c r="B43" s="24">
        <v>20</v>
      </c>
      <c r="C43" s="24">
        <v>15.296551724137933</v>
      </c>
      <c r="D43" s="24">
        <v>19.139308012486993</v>
      </c>
      <c r="E43" s="24">
        <v>17.294283038501561</v>
      </c>
      <c r="F43" s="24">
        <v>18.327336019653828</v>
      </c>
      <c r="G43" s="25">
        <v>90.057478794780323</v>
      </c>
    </row>
    <row r="44" spans="1:7" x14ac:dyDescent="0.25">
      <c r="A44" s="22" t="s">
        <v>223</v>
      </c>
      <c r="B44" s="24">
        <v>16.407023673469386</v>
      </c>
      <c r="C44" s="24">
        <v>18.212242568370989</v>
      </c>
      <c r="D44" s="24">
        <v>17.611881373569197</v>
      </c>
      <c r="E44" s="24">
        <v>13.748885938974862</v>
      </c>
      <c r="F44" s="24">
        <v>17.123274259949373</v>
      </c>
      <c r="G44" s="25">
        <v>83.103307814333803</v>
      </c>
    </row>
    <row r="45" spans="1:7" x14ac:dyDescent="0.25">
      <c r="A45" s="22" t="s">
        <v>224</v>
      </c>
      <c r="B45" s="24">
        <v>20</v>
      </c>
      <c r="C45" s="24">
        <v>17.615484991714119</v>
      </c>
      <c r="D45" s="24">
        <v>20</v>
      </c>
      <c r="E45" s="24">
        <v>14.966142767950053</v>
      </c>
      <c r="F45" s="24">
        <v>20</v>
      </c>
      <c r="G45" s="25">
        <v>92.581627759664173</v>
      </c>
    </row>
    <row r="46" spans="1:7" x14ac:dyDescent="0.25">
      <c r="A46" s="22" t="s">
        <v>225</v>
      </c>
      <c r="B46" s="24">
        <v>16.302892760816327</v>
      </c>
      <c r="C46" s="24">
        <v>1.391486325802616</v>
      </c>
      <c r="D46" s="24">
        <v>7.3816701352757548</v>
      </c>
      <c r="E46" s="24">
        <v>6.8103142559833527</v>
      </c>
      <c r="F46" s="24">
        <v>7.9743999499396541</v>
      </c>
      <c r="G46" s="25">
        <v>39.860763427817709</v>
      </c>
    </row>
    <row r="48" spans="1:7" x14ac:dyDescent="0.25">
      <c r="A48" t="s">
        <v>23</v>
      </c>
    </row>
  </sheetData>
  <protectedRanges>
    <protectedRange algorithmName="SHA-512" hashValue="J2F2YVr7My3Gj+Oz0r67SHEhIry6WkxrfV6YnCGYC+kDr/rf1UhJ7gnHjaCfqQcJcifWEXR6uMOoSZkQHvU0DQ==" saltValue="VRTjKcC106d0xRJBuaORXQ==" spinCount="100000" sqref="A2" name="GCIv4Scores"/>
    <protectedRange algorithmName="SHA-512" hashValue="J2F2YVr7My3Gj+Oz0r67SHEhIry6WkxrfV6YnCGYC+kDr/rf1UhJ7gnHjaCfqQcJcifWEXR6uMOoSZkQHvU0DQ==" saltValue="VRTjKcC106d0xRJBuaORXQ==" spinCount="100000" sqref="G2" name="GCIv4Scores_6"/>
    <protectedRange algorithmName="SHA-512" hashValue="J2F2YVr7My3Gj+Oz0r67SHEhIry6WkxrfV6YnCGYC+kDr/rf1UhJ7gnHjaCfqQcJcifWEXR6uMOoSZkQHvU0DQ==" saltValue="VRTjKcC106d0xRJBuaORXQ==" spinCount="100000" sqref="A3:A46" name="GCIv4Scores_7"/>
    <protectedRange algorithmName="SHA-512" hashValue="J2F2YVr7My3Gj+Oz0r67SHEhIry6WkxrfV6YnCGYC+kDr/rf1UhJ7gnHjaCfqQcJcifWEXR6uMOoSZkQHvU0DQ==" saltValue="VRTjKcC106d0xRJBuaORXQ==" spinCount="100000" sqref="B3:B46" name="GCIv4Scores_8"/>
    <protectedRange algorithmName="SHA-512" hashValue="J2F2YVr7My3Gj+Oz0r67SHEhIry6WkxrfV6YnCGYC+kDr/rf1UhJ7gnHjaCfqQcJcifWEXR6uMOoSZkQHvU0DQ==" saltValue="VRTjKcC106d0xRJBuaORXQ==" spinCount="100000" sqref="C3:C46" name="GCIv4Scores_9"/>
    <protectedRange algorithmName="SHA-512" hashValue="J2F2YVr7My3Gj+Oz0r67SHEhIry6WkxrfV6YnCGYC+kDr/rf1UhJ7gnHjaCfqQcJcifWEXR6uMOoSZkQHvU0DQ==" saltValue="VRTjKcC106d0xRJBuaORXQ==" spinCount="100000" sqref="D3:D46" name="GCIv4Scores_10"/>
    <protectedRange algorithmName="SHA-512" hashValue="J2F2YVr7My3Gj+Oz0r67SHEhIry6WkxrfV6YnCGYC+kDr/rf1UhJ7gnHjaCfqQcJcifWEXR6uMOoSZkQHvU0DQ==" saltValue="VRTjKcC106d0xRJBuaORXQ==" spinCount="100000" sqref="E3:E46" name="GCIv4Scores_11"/>
    <protectedRange algorithmName="SHA-512" hashValue="J2F2YVr7My3Gj+Oz0r67SHEhIry6WkxrfV6YnCGYC+kDr/rf1UhJ7gnHjaCfqQcJcifWEXR6uMOoSZkQHvU0DQ==" saltValue="VRTjKcC106d0xRJBuaORXQ==" spinCount="100000" sqref="F3:F46" name="GCIv4Scores_12"/>
    <protectedRange algorithmName="SHA-512" hashValue="J2F2YVr7My3Gj+Oz0r67SHEhIry6WkxrfV6YnCGYC+kDr/rf1UhJ7gnHjaCfqQcJcifWEXR6uMOoSZkQHvU0DQ==" saltValue="VRTjKcC106d0xRJBuaORXQ==" spinCount="100000" sqref="G3:G46" name="GCIv4Scores_13"/>
  </protectedRanges>
  <sortState xmlns:xlrd2="http://schemas.microsoft.com/office/spreadsheetml/2017/richdata2" ref="A3:G46">
    <sortCondition ref="A3:A46"/>
  </sortState>
  <hyperlinks>
    <hyperlink ref="G1" location="Contents!A1" display="Return to Contents" xr:uid="{679BB878-5104-46B6-8CF4-AA386CD937F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2828ED20E4CF4C87A479821B407446" ma:contentTypeVersion="2" ma:contentTypeDescription="Create a new document." ma:contentTypeScope="" ma:versionID="2a9d116d46e7c4d1d9a32a0a22e8f4e1">
  <xsd:schema xmlns:xsd="http://www.w3.org/2001/XMLSchema" xmlns:xs="http://www.w3.org/2001/XMLSchema" xmlns:p="http://schemas.microsoft.com/office/2006/metadata/properties" xmlns:ns1="http://schemas.microsoft.com/sharepoint/v3" xmlns:ns2="1aaea1ea-72e4-4374-b05e-72e2f16fb7ae" targetNamespace="http://schemas.microsoft.com/office/2006/metadata/properties" ma:root="true" ma:fieldsID="5f03cfa57e716973114bdf2422329f5c" ns1:_="" ns2:_="">
    <xsd:import namespace="http://schemas.microsoft.com/sharepoint/v3"/>
    <xsd:import namespace="1aaea1ea-72e4-4374-b05e-72e2f16fb7ae"/>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aea1ea-72e4-4374-b05e-72e2f16fb7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1C93F2-1BCD-42D1-825E-229BD1389E16}">
  <ds:schemaRefs>
    <ds:schemaRef ds:uri="http://schemas.microsoft.com/office/2006/metadata/properties"/>
    <ds:schemaRef ds:uri="http://schemas.microsoft.com/office/infopath/2007/PartnerControls"/>
    <ds:schemaRef ds:uri="0f208774-d51b-4573-a67b-89dea6922a77"/>
    <ds:schemaRef ds:uri="c90385a7-5e94-4852-9398-ec888c07ca90"/>
  </ds:schemaRefs>
</ds:datastoreItem>
</file>

<file path=customXml/itemProps2.xml><?xml version="1.0" encoding="utf-8"?>
<ds:datastoreItem xmlns:ds="http://schemas.openxmlformats.org/officeDocument/2006/customXml" ds:itemID="{A21708E9-7B60-4EC7-BA2B-D3F4F2064F3A}"/>
</file>

<file path=customXml/itemProps3.xml><?xml version="1.0" encoding="utf-8"?>
<ds:datastoreItem xmlns:ds="http://schemas.openxmlformats.org/officeDocument/2006/customXml" ds:itemID="{A1FFE37A-1BAB-45CC-BCA4-073CBF8A4D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regulation</vt:lpstr>
      <vt:lpstr>Internet use</vt:lpstr>
      <vt:lpstr>Int use gender</vt:lpstr>
      <vt:lpstr>int use age</vt:lpstr>
      <vt:lpstr>Int use urban-rural</vt:lpstr>
      <vt:lpstr>subscriptions</vt:lpstr>
      <vt:lpstr>fxd brb speed</vt:lpstr>
      <vt:lpstr>mob netw coverage</vt:lpstr>
      <vt:lpstr>fxd brb infra</vt:lpstr>
      <vt:lpstr>traffic</vt:lpstr>
      <vt:lpstr>bandwidth</vt:lpstr>
      <vt:lpstr>affordability</vt:lpstr>
      <vt:lpstr>mbo</vt:lpstr>
      <vt:lpstr>mbo gender</vt:lpstr>
      <vt:lpstr>ICT skill levels</vt:lpstr>
      <vt:lpstr>ICT skills - activities</vt:lpstr>
      <vt:lpstr>investment and revenue</vt:lpstr>
      <vt:lpstr>e-waste</vt:lpstr>
      <vt:lpstr>GCI1</vt:lpstr>
      <vt:lpstr>GCI2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Schaaper, Martin</dc:creator>
  <cp:keywords/>
  <dc:description/>
  <cp:lastModifiedBy>Schaaper, Martin</cp:lastModifiedBy>
  <cp:revision/>
  <dcterms:created xsi:type="dcterms:W3CDTF">2024-12-10T14:45:40Z</dcterms:created>
  <dcterms:modified xsi:type="dcterms:W3CDTF">2025-03-26T15:43:49Z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0x010100012828ED20E4CF4C87A479821B407446</vt:lpwstr>
  </property>
  <property fmtid="{D5CDD505-2E9C-101B-9397-08002B2CF9AE}" pid="3" name="MediaServiceImageTags">
    <vt:lpwstr/>
  </property>
</Properties>
</file>